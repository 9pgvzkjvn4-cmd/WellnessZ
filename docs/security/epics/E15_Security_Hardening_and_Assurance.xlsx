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pic Overview" sheetId="1" state="visible" r:id="rId1"/>
    <sheet xmlns:r="http://schemas.openxmlformats.org/officeDocument/2006/relationships" name="High-Level Requirements" sheetId="2" state="visible" r:id="rId2"/>
    <sheet xmlns:r="http://schemas.openxmlformats.org/officeDocument/2006/relationships" name="Feature List" sheetId="3" state="visible" r:id="rId3"/>
    <sheet xmlns:r="http://schemas.openxmlformats.org/officeDocument/2006/relationships" name="Implementation Backlog" sheetId="4" state="visible" r:id="rId4"/>
    <sheet xmlns:r="http://schemas.openxmlformats.org/officeDocument/2006/relationships" name="Legends" sheetId="5" state="visible" r:id="rId5"/>
  </sheets>
  <definedNames>
    <definedName name="_xlnm.Print_Titles" localSheetId="0">'Epic Overview'!$4:$4</definedName>
    <definedName name="_xlnm._FilterDatabase" localSheetId="1" hidden="1">'High-Level Requirements'!$A$4:$H$21</definedName>
    <definedName name="_xlnm.Print_Titles" localSheetId="1">'High-Level Requirements'!$4:$4</definedName>
    <definedName name="_xlnm._FilterDatabase" localSheetId="2" hidden="1">'Feature List'!$A$4:$J$21</definedName>
    <definedName name="_xlnm.Print_Titles" localSheetId="2">'Feature List'!$4:$4</definedName>
    <definedName name="_xlnm._FilterDatabase" localSheetId="3" hidden="1">'Implementation Backlog'!$A$4:$O$50</definedName>
    <definedName name="_xlnm.Print_Titles" localSheetId="3">'Implementation Backlog'!$4:$4</definedName>
    <definedName name="_xlnm.Print_Titles" localSheetId="4">'Legends'!$4:$4</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FF1F3864"/>
      <sz val="14"/>
    </font>
    <font>
      <name val="Arial"/>
      <color rgb="FF595959"/>
      <sz val="10"/>
    </font>
    <font>
      <name val="Arial"/>
      <color rgb="FF7F7F7F"/>
      <sz val="9"/>
    </font>
    <font>
      <name val="Arial"/>
      <b val="1"/>
      <color rgb="FF1F3864"/>
      <sz val="10"/>
    </font>
    <font>
      <name val="Arial"/>
      <color rgb="FF000000"/>
      <sz val="10"/>
    </font>
    <font>
      <name val="Arial"/>
      <b val="1"/>
      <color rgb="FF1F3864"/>
      <sz val="11"/>
    </font>
    <font>
      <name val="Arial"/>
      <b val="1"/>
      <color rgb="FF000000"/>
      <sz val="10"/>
    </font>
    <font>
      <name val="Arial"/>
      <color rgb="FF404040"/>
      <sz val="9"/>
    </font>
    <font>
      <name val="Arial"/>
      <b val="1"/>
      <color rgb="FFFFFFFF"/>
      <sz val="10"/>
    </font>
    <font>
      <name val="Arial"/>
      <b val="1"/>
      <sz val="10"/>
    </font>
  </fonts>
  <fills count="6">
    <fill>
      <patternFill/>
    </fill>
    <fill>
      <patternFill patternType="gray125"/>
    </fill>
    <fill>
      <patternFill patternType="solid">
        <fgColor rgb="FFDDEBF7"/>
      </patternFill>
    </fill>
    <fill>
      <patternFill patternType="solid">
        <fgColor rgb="FFF2F2F2"/>
      </patternFill>
    </fill>
    <fill>
      <patternFill patternType="solid">
        <fgColor rgb="FF1F3864"/>
      </patternFill>
    </fill>
    <fill>
      <patternFill patternType="solid">
        <fgColor rgb="FFFFF2CC"/>
      </patternFill>
    </fill>
  </fills>
  <borders count="5">
    <border>
      <left/>
      <right/>
      <top/>
      <bottom/>
      <diagonal/>
    </border>
    <border>
      <left style="thin">
        <color rgb="FFBFBFBF"/>
      </left>
      <right style="thin">
        <color rgb="FFBFBFBF"/>
      </right>
      <top style="thin">
        <color rgb="FFBFBFBF"/>
      </top>
      <bottom style="thin">
        <color rgb="FFBFBFBF"/>
      </bottom>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5" fillId="0" borderId="1" applyAlignment="1" pivotButton="0" quotePrefix="0" xfId="0">
      <alignment vertical="top" wrapText="1"/>
    </xf>
    <xf numFmtId="0" fontId="0" fillId="0" borderId="1" pivotButton="0" quotePrefix="0" xfId="0"/>
    <xf numFmtId="0" fontId="6" fillId="0" borderId="0" pivotButton="0" quotePrefix="0" xfId="0"/>
    <xf numFmtId="0" fontId="7" fillId="3" borderId="1" pivotButton="0" quotePrefix="0" xfId="0"/>
    <xf numFmtId="0" fontId="5" fillId="0" borderId="1" applyAlignment="1" pivotButton="0" quotePrefix="0" xfId="0">
      <alignment horizontal="left"/>
    </xf>
    <xf numFmtId="0" fontId="8" fillId="0" borderId="0" applyAlignment="1" pivotButton="0" quotePrefix="0" xfId="0">
      <alignment vertical="top" wrapText="1"/>
    </xf>
    <xf numFmtId="0" fontId="9" fillId="4" borderId="1" applyAlignment="1" pivotButton="0" quotePrefix="0" xfId="0">
      <alignment horizontal="center" vertical="center" wrapText="1"/>
    </xf>
    <xf numFmtId="0" fontId="5" fillId="0" borderId="1" applyAlignment="1" pivotButton="0" quotePrefix="0" xfId="0">
      <alignment horizontal="center" vertical="top"/>
    </xf>
    <xf numFmtId="0" fontId="5" fillId="0" borderId="1" applyAlignment="1" pivotButton="0" quotePrefix="0" xfId="0">
      <alignment horizontal="left" vertical="top" wrapText="1"/>
    </xf>
    <xf numFmtId="0" fontId="5" fillId="5" borderId="1" applyAlignment="1" pivotButton="0" quotePrefix="0" xfId="0">
      <alignment horizontal="left" vertical="top" wrapText="1"/>
    </xf>
    <xf numFmtId="0" fontId="5" fillId="5" borderId="1" applyAlignment="1" pivotButton="0" quotePrefix="0" xfId="0">
      <alignment horizontal="center" vertical="top"/>
    </xf>
    <xf numFmtId="0" fontId="5" fillId="5" borderId="1" applyAlignment="1" pivotButton="0" quotePrefix="0" xfId="0">
      <alignment horizontal="left" vertical="top"/>
    </xf>
    <xf numFmtId="0" fontId="10" fillId="0" borderId="0" pivotButton="0" quotePrefix="0" xfId="0"/>
    <xf numFmtId="0" fontId="10" fillId="0" borderId="0" applyAlignment="1" pivotButton="0" quotePrefix="0" xfId="0">
      <alignment horizontal="center"/>
    </xf>
  </cellXfs>
  <cellStyles count="1">
    <cellStyle name="Normal" xfId="0" builtinId="0" hidden="0"/>
  </cellStyles>
  <dxfs count="3">
    <dxf>
      <fill>
        <patternFill>
          <bgColor rgb="FFF8CBAD"/>
        </patternFill>
      </fill>
    </dxf>
    <dxf>
      <fill>
        <patternFill>
          <bgColor rgb="FFFFE699"/>
        </patternFill>
      </fill>
    </dxf>
    <dxf>
      <fill>
        <patternFill>
          <bgColor rgb="FFC6E0B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33"/>
  <sheetViews>
    <sheetView showGridLines="0" workbookViewId="0">
      <selection activeCell="A1" sqref="A1"/>
    </sheetView>
  </sheetViews>
  <sheetFormatPr baseColWidth="8" defaultRowHeight="15"/>
  <cols>
    <col width="28" customWidth="1" min="1" max="1"/>
    <col width="95" customWidth="1" min="2" max="2"/>
    <col width="22" customWidth="1" min="3" max="3"/>
  </cols>
  <sheetData>
    <row r="1" ht="17.35" customHeight="1">
      <c r="A1" s="1" t="inlineStr">
        <is>
          <t>E15 – Security Hardening &amp; Assurance</t>
        </is>
      </c>
    </row>
    <row r="2" ht="15" customHeight="1">
      <c r="A2" s="2" t="inlineStr">
        <is>
          <t>Epic overview, scope, value, KPIs and summary metrics (review with CISO &amp; Cyber GRC)</t>
        </is>
      </c>
    </row>
    <row r="3" ht="15" customHeight="1">
      <c r="A3" s="3" t="inlineStr">
        <is>
          <t>Airline Group Occupational Health Case Management (OHCM) | v1.0 – Draft for CISO &amp; Cyber GRC review | 30 October 2026</t>
        </is>
      </c>
    </row>
    <row r="5" ht="15.6" customHeight="1">
      <c r="A5" s="4" t="inlineStr">
        <is>
          <t>Epic ID</t>
        </is>
      </c>
      <c r="B5" s="5" t="inlineStr">
        <is>
          <t>E15</t>
        </is>
      </c>
    </row>
    <row r="6" ht="15.6" customHeight="1">
      <c r="A6" s="4" t="inlineStr">
        <is>
          <t>Epic name</t>
        </is>
      </c>
      <c r="B6" s="5" t="inlineStr">
        <is>
          <t>Security Hardening &amp; Assurance</t>
        </is>
      </c>
    </row>
    <row r="7" ht="66" customHeight="1">
      <c r="A7" s="4" t="inlineStr">
        <is>
          <t>Goal</t>
        </is>
      </c>
      <c r="B7" s="5" t="inlineStr">
        <is>
          <t>Raise the WellnessZ platform from 'secure for release' to the security posture expected of a Tier-0 airline system that processes special-category health data: independent assurance before go-live, a verifiable software supply chain, private and encrypted infrastructure, programme-aware protection of restricted classes, automated security regression testing, detection and response in the SIEM, and a disciplined vulnerability-management cadence. The epic implements enhancements SEC-E01 to SEC-E15 of the Security Enhancement Guideline (security assessment 2026-10) plus guardrail regression tests and security operations.</t>
        </is>
      </c>
      <c r="C7" s="6" t="n"/>
    </row>
    <row r="8" ht="53.4" customHeight="1">
      <c r="A8" s="4" t="inlineStr">
        <is>
          <t>Business value</t>
        </is>
      </c>
      <c r="B8" s="5" t="inlineStr">
        <is>
          <t>Removes the remaining conditions for PROD go-live (independent penetration test, release evidence, signed-image admission, demo-identity guard, customer-managed keys, patch SLAs); protects the airline from regulatory, contractual and reputational damage from a health-data breach; produces the evidence the SOC 2 Type 2 audit and airline customers' security due diligence require; reduces the cost of each later release by catching access-control regressions automatically.</t>
        </is>
      </c>
      <c r="C8" s="6" t="n"/>
    </row>
    <row r="9" ht="166.8" customHeight="1">
      <c r="A9" s="4" t="inlineStr">
        <is>
          <t>In scope</t>
        </is>
      </c>
      <c r="B9" s="5" t="inlineStr">
        <is>
          <t>• Independent penetration test of UAT and annual retesting (SEC-E01)
• Image-scan and SBOM evidence; signed-image admission on AKS and hybrid clusters (SEC-E02, SEC-E03)
• Private registry, runners and control planes in PROD (SEC-E04)
• Programme-aware restricted-document access for the MRO (SEC-E05)
• Startup guard against demo identities and local-only secrets (SEC-E06)
• Cluster-wide and cost-based rate limiting (SEC-E07); global WAF, bot and DDoS protection (SEC-E10); hybrid edge WAF and partner IP allow-listing (SEC-E15)
• Runtime protection and SIEM detections (SEC-E08)
• Customer-managed keys and envelope encryption (SEC-E09)
• Mobile app hardening and MASVS assessment (SEC-E11)
• Security verification and access-control matrix as CI gates (SEC-E12)
• Patch SLAs, re-scanning and PostgreSQL upgrade plan (SEC-E13); threat-model refresh and abuse-case tests (SEC-E14)
• Guardrail regression tests and the security operations cadence</t>
        </is>
      </c>
      <c r="C9" s="6" t="n"/>
    </row>
    <row r="10" ht="53.4" customHeight="1">
      <c r="A10" s="4" t="inlineStr">
        <is>
          <t>Out of scope</t>
        </is>
      </c>
      <c r="B10" s="5" t="inlineStr">
        <is>
          <t>• Operating the SOC itself and the SIEM platform (client service)
• Identity-provider hardening (Entra ID / Keycloak tenant configuration), endpoint and MDM policies
• SOC 2 audit fieldwork (performed by the independent auditor)
• New business functionality</t>
        </is>
      </c>
      <c r="C10" s="6" t="n"/>
    </row>
    <row r="11" ht="28.2" customHeight="1">
      <c r="A11" s="4" t="inlineStr">
        <is>
          <t>Primary stakeholders / roles</t>
        </is>
      </c>
      <c r="B11" s="5" t="inlineStr">
        <is>
          <t>CIO; CISO / Cyber GRC; Data Protection Officer; Platform Security; Platform / DevOps; Network team; Core API team; Web team; Mobile team; QA; SOC; Security champions; OH governance (CMO, Nursing Head, MRO) for restricted-class decisions</t>
        </is>
      </c>
      <c r="C11" s="6" t="n"/>
    </row>
    <row r="12" ht="78.59999999999999" customHeight="1">
      <c r="A12" s="4" t="inlineStr">
        <is>
          <t>Success KPIs</t>
        </is>
      </c>
      <c r="B12" s="5" t="inlineStr">
        <is>
          <t>• Go-live conditions G1–G6 of the Security Enhancement Guideline met before PROD go-live
• 0 Critical / High vulnerabilities open beyond SLA (48 h / 7 d); monthly report on time
• 100 % of UAT / PROD images signed, scanned and admitted by policy
• 0 unexpected allows in the nightly access-control matrix
• 100 % of access reviews on time; 100 % of break-glass events reviewed within 5 working days
• ≥ 95 % of high-severity SIEM alerts triaged within 1 hour</t>
        </is>
      </c>
      <c r="C12" s="6" t="n"/>
    </row>
    <row r="13" ht="28.2" customHeight="1">
      <c r="A13" s="4" t="inlineStr">
        <is>
          <t>Dependencies</t>
        </is>
      </c>
      <c r="B13" s="5" t="inlineStr">
        <is>
          <t>E09 Mental health (restricted class); E10 Substance testing (MRO); E13 Portal / app (mobile); E18 Configuration (demo-identity rule); client IAM, network and SOC teams; cloud subscriptions / projects</t>
        </is>
      </c>
      <c r="C13" s="6" t="n"/>
    </row>
    <row r="14" ht="91.2" customHeight="1">
      <c r="A14" s="4" t="inlineStr">
        <is>
          <t>Standards &amp; references</t>
        </is>
      </c>
      <c r="B14" s="5" t="inlineStr">
        <is>
          <t>• SOC2: AICPA Trust Services Criteria (CC, A, C)
• HITRUST: HITRUST CSF assessment domains 01–19
• OWASP-T10 / OWASP-API / OWASP-ASVS / OWASP-MASVS
• ISO27001: ISO/IEC 27001:2022 Annex A
• NIST-SSDF: NIST SP 800-218 Secure Software Development Framework; SLSA build provenance
• LOCAL-PDP: local personal-data-protection law + GDPR Art. 9 / 32 as benchmark
• WellnessZ: Security Enhancement Guideline, Developer Security Handbook, doc 02 Security and SOC 2 Control Mapping</t>
        </is>
      </c>
      <c r="C14" s="6" t="n"/>
    </row>
    <row r="15" ht="28.2" customHeight="1">
      <c r="A15" s="4" t="inlineStr">
        <is>
          <t>Recommended start phase</t>
        </is>
      </c>
      <c r="B15" s="5" t="inlineStr">
        <is>
          <t>P1 – Now (before PROD go-live) for SEC-E01, E02, E03, E06, E09 (decision), E13 (SLAs); P2 – Next (first 90 days); P3 – Later (3–12 months)</t>
        </is>
      </c>
      <c r="C15" s="6" t="n"/>
    </row>
    <row r="17">
      <c r="A17" s="7" t="inlineStr">
        <is>
          <t>Summary metrics (formula-driven)</t>
        </is>
      </c>
    </row>
    <row r="18" ht="15" customHeight="1">
      <c r="A18" s="8" t="inlineStr">
        <is>
          <t>Number of high-level requirements</t>
        </is>
      </c>
      <c r="B18" s="9">
        <f>COUNTA('High-Level Requirements'!A5:A21)</f>
        <v/>
      </c>
    </row>
    <row r="19" ht="15" customHeight="1">
      <c r="A19" s="8" t="inlineStr">
        <is>
          <t>Number of features</t>
        </is>
      </c>
      <c r="B19" s="9">
        <f>COUNTA('Feature List'!A5:A21)</f>
        <v/>
      </c>
    </row>
    <row r="20" ht="15" customHeight="1">
      <c r="A20" s="8" t="inlineStr">
        <is>
          <t>Number of backlog items</t>
        </is>
      </c>
      <c r="B20" s="9">
        <f>COUNTA('Implementation Backlog'!A5:A50)</f>
        <v/>
      </c>
    </row>
    <row r="21" ht="15" customHeight="1">
      <c r="A21" s="8" t="inlineStr">
        <is>
          <t>Total story points (indicative)</t>
        </is>
      </c>
      <c r="B21" s="9">
        <f>SUM('Implementation Backlog'!G5:G50)</f>
        <v/>
      </c>
    </row>
    <row r="22" ht="15" customHeight="1">
      <c r="A22" s="8" t="inlineStr">
        <is>
          <t>Story points – Phase 1 (Now)</t>
        </is>
      </c>
      <c r="B22" s="9">
        <f>SUMIF('Implementation Backlog'!H5:H50,"P1",'Implementation Backlog'!G5:G50)</f>
        <v/>
      </c>
    </row>
    <row r="23" ht="15" customHeight="1">
      <c r="A23" s="8" t="inlineStr">
        <is>
          <t>Story points – Phase 2 (Next)</t>
        </is>
      </c>
      <c r="B23" s="9">
        <f>SUMIF('Implementation Backlog'!H5:H50,"P2",'Implementation Backlog'!G5:G50)</f>
        <v/>
      </c>
    </row>
    <row r="24" ht="15" customHeight="1">
      <c r="A24" s="8" t="inlineStr">
        <is>
          <t>Story points – Phase 3 (Later)</t>
        </is>
      </c>
      <c r="B24" s="9">
        <f>SUMIF('Implementation Backlog'!H5:H50,"P3",'Implementation Backlog'!G5:G50)</f>
        <v/>
      </c>
    </row>
    <row r="25" ht="15" customHeight="1">
      <c r="A25" s="8" t="inlineStr">
        <is>
          <t>Must-have requirements</t>
        </is>
      </c>
      <c r="B25" s="9">
        <f>COUNTIF('High-Level Requirements'!D5:D21,"Must")</f>
        <v/>
      </c>
    </row>
    <row r="26" ht="15" customHeight="1">
      <c r="A26" s="8" t="inlineStr">
        <is>
          <t>Backlog items awaiting review decision</t>
        </is>
      </c>
      <c r="B26" s="9">
        <f>COUNTBLANK('Implementation Backlog'!N5:N50)</f>
        <v/>
      </c>
    </row>
    <row r="28">
      <c r="A28" s="7" t="inlineStr">
        <is>
          <t>Notes &amp; assumptions</t>
        </is>
      </c>
    </row>
    <row r="29" ht="30" customHeight="1">
      <c r="A29" s="10" t="inlineStr">
        <is>
          <t>How to review: yellow cells are for the CISO / Cyber GRC team. Use the 'Decision' and 'Review comment' columns on each sheet; the dropdowns offer Accept / Modify / Reject / Defer.</t>
        </is>
      </c>
    </row>
    <row r="30" ht="30" customHeight="1">
      <c r="A30" s="10" t="inlineStr">
        <is>
          <t>Story points are indicative relative-size estimates (Fibonacci-like scale) produced during the security assessment; they must be re-estimated by the delivery teams and exclude the external penetration-test engagement.</t>
        </is>
      </c>
    </row>
    <row r="31" ht="30" customHeight="1">
      <c r="A31" s="10" t="inlineStr">
        <is>
          <t>Phases in this epic: P1 = Now (before PROD go-live), P2 = Next (first 90 days of operation), P3 = Later (3–12 months). Priority on backlog items is P1 (critical) / P2 / P3.</t>
        </is>
      </c>
    </row>
    <row r="32" ht="30" customHeight="1">
      <c r="A32" s="10" t="inlineStr">
        <is>
          <t>Every item traces to an enhancement SEC-E01…SEC-E15 (or the guardrail / operations sections) of docs/security/Security-Enhancement-Guideline.md; findings F-01…F-17 of the assessment are all closed or accepted.</t>
        </is>
      </c>
    </row>
    <row r="33" ht="30" customHeight="1">
      <c r="A33" s="10" t="inlineStr">
        <is>
          <t>Numbering: earlier increment documents refer to the client's Integration epic as 'E15'. Confirm the epic number with the PMO before importing this workbook into the master backlog.</t>
        </is>
      </c>
    </row>
  </sheetData>
  <mergeCells count="14">
    <mergeCell ref="B13:C13"/>
    <mergeCell ref="A33:C33"/>
    <mergeCell ref="B15:C15"/>
    <mergeCell ref="B7:C7"/>
    <mergeCell ref="B11:C11"/>
    <mergeCell ref="A32:C32"/>
    <mergeCell ref="A31:C31"/>
    <mergeCell ref="B10:C10"/>
    <mergeCell ref="B14:C14"/>
    <mergeCell ref="A30:C30"/>
    <mergeCell ref="B9:C9"/>
    <mergeCell ref="B8:C8"/>
    <mergeCell ref="A29:C29"/>
    <mergeCell ref="B12:C12"/>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H2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70" customWidth="1" min="2" max="2"/>
    <col width="45" customWidth="1" min="3" max="3"/>
    <col width="12" customWidth="1" min="4" max="4"/>
    <col width="28" customWidth="1" min="5" max="5"/>
    <col width="34" customWidth="1" min="6" max="6"/>
    <col width="36" customWidth="1" min="7" max="7"/>
    <col width="12" customWidth="1" min="8" max="8"/>
  </cols>
  <sheetData>
    <row r="1" ht="17.35" customHeight="1">
      <c r="A1" s="1" t="inlineStr">
        <is>
          <t>E15 – High-Level Requirements</t>
        </is>
      </c>
    </row>
    <row r="2" ht="15" customHeight="1">
      <c r="A2" s="2" t="inlineStr">
        <is>
          <t>What the solution must achieve for this epic (MoSCoW prioritised, traced to security standards and the 2026-10 assessment)</t>
        </is>
      </c>
    </row>
    <row r="3" ht="15" customHeight="1">
      <c r="A3" s="3" t="inlineStr">
        <is>
          <t>Airline Group Occupational Health Case Management (OHCM) | v1.0 – Draft for CISO &amp; Cyber GRC review | 30 October 2026</t>
        </is>
      </c>
    </row>
    <row r="4" ht="31.5" customHeight="1">
      <c r="A4" s="11" t="inlineStr">
        <is>
          <t>HLR ID</t>
        </is>
      </c>
      <c r="B4" s="11" t="inlineStr">
        <is>
          <t>Requirement</t>
        </is>
      </c>
      <c r="C4" s="11" t="inlineStr">
        <is>
          <t>Rationale</t>
        </is>
      </c>
      <c r="D4" s="11" t="inlineStr">
        <is>
          <t>Priority (MoSCoW)</t>
        </is>
      </c>
      <c r="E4" s="11" t="inlineStr">
        <is>
          <t>Standards / sources</t>
        </is>
      </c>
      <c r="F4" s="11" t="inlineStr">
        <is>
          <t>Applicable units</t>
        </is>
      </c>
      <c r="G4" s="11" t="inlineStr">
        <is>
          <t>Review comment (CISO / Cyber GRC)</t>
        </is>
      </c>
      <c r="H4" s="11" t="inlineStr">
        <is>
          <t>Decision</t>
        </is>
      </c>
    </row>
    <row r="5" ht="66" customHeight="1">
      <c r="A5" s="12" t="inlineStr">
        <is>
          <t>E15-HLR-01</t>
        </is>
      </c>
      <c r="B5" s="13" t="inlineStr">
        <is>
          <t>The platform shall undergo an independent penetration test by a CREST- or OSCP-certified tester of the deployed UAT environment (web apps, BFF, core API, partner portal, integration endpoints, mobile build, cloud configuration) before PROD go-live, annually thereafter and before each major release, with no Critical or High finding open at go-live.</t>
        </is>
      </c>
      <c r="C5" s="13" t="inlineStr">
        <is>
          <t>The 2026-10 assessment was internal and ran against the local stack only (SEC-E01, R-01). Independent testing of the deployed system is expected by auditors and airline customers.</t>
        </is>
      </c>
      <c r="D5" s="12" t="inlineStr">
        <is>
          <t>Must</t>
        </is>
      </c>
      <c r="E5" s="13" t="inlineStr">
        <is>
          <t>SOC2 CC4.1, CC7.1; HITRUST 07, 17; ISO27001 A.8.8, A.8.29; OWASP-ASVS</t>
        </is>
      </c>
      <c r="F5" s="13" t="inlineStr">
        <is>
          <t>ALL – All subsidiaries &amp; departments (group-wide)</t>
        </is>
      </c>
      <c r="G5" s="14" t="n"/>
      <c r="H5" s="15" t="n"/>
    </row>
    <row r="6" ht="40.8" customHeight="1">
      <c r="A6" s="12" t="inlineStr">
        <is>
          <t>E15-HLR-02</t>
        </is>
      </c>
      <c r="B6" s="13" t="inlineStr">
        <is>
          <t>Every image deployed to UAT or PROD shall have its vulnerability-scan report and SBOM attestation verified at deployment and retained as release evidence for at least 13 months.</t>
        </is>
      </c>
      <c r="C6" s="13" t="inlineStr">
        <is>
          <t>Trivy gates the build, but evidence lives only in workflow logs and SBOM attestations are not verified at deploy (SEC-E02, R-02).</t>
        </is>
      </c>
      <c r="D6" s="12" t="inlineStr">
        <is>
          <t>Must</t>
        </is>
      </c>
      <c r="E6" s="13" t="inlineStr">
        <is>
          <t>SOC2 CC7.1, CC8.1; HITRUST 06, 07; NIST-SSDF; SLSA</t>
        </is>
      </c>
      <c r="F6" s="13" t="inlineStr">
        <is>
          <t>ALL – All subsidiaries &amp; departments (group-wide)</t>
        </is>
      </c>
      <c r="G6" s="14" t="n"/>
      <c r="H6" s="15" t="n"/>
    </row>
    <row r="7" ht="40.8" customHeight="1">
      <c r="A7" s="12" t="inlineStr">
        <is>
          <t>E15-HLR-03</t>
        </is>
      </c>
      <c r="B7" s="13" t="inlineStr">
        <is>
          <t>Kubernetes clusters in UAT and PROD on every supported platform (AKS, GKE, hybrid) shall admit only images signed by the WellnessZ release pipeline.</t>
        </is>
      </c>
      <c r="C7" s="13" t="inlineStr">
        <is>
          <t>GKE enforces Binary Authorization; AKS and on-premises clusters verify signatures only in the deploy job (SEC-E03, residual risk RR11).</t>
        </is>
      </c>
      <c r="D7" s="12" t="inlineStr">
        <is>
          <t>Must</t>
        </is>
      </c>
      <c r="E7" s="13" t="inlineStr">
        <is>
          <t>SOC2 CC6.8, CC8.1; HITRUST 06; SLSA; CIS-K8S</t>
        </is>
      </c>
      <c r="F7" s="13" t="inlineStr">
        <is>
          <t>ALL – All subsidiaries &amp; departments (group-wide)</t>
        </is>
      </c>
      <c r="G7" s="14" t="n"/>
      <c r="H7" s="15" t="n"/>
    </row>
    <row r="8" ht="53.4" customHeight="1">
      <c r="A8" s="12" t="inlineStr">
        <is>
          <t>E15-HLR-04</t>
        </is>
      </c>
      <c r="B8" s="13" t="inlineStr">
        <is>
          <t>Build, registry and cluster-management paths for PROD shall be private: no public network access to the container registry or key vault, private Kubernetes control planes and group-based cluster RBAC.</t>
        </is>
      </c>
      <c r="C8" s="13" t="inlineStr">
        <is>
          <t>ACR public access and temporary Key Vault IP rules exist for GitHub-hosted runners; the GKE PROD control plane has a public endpoint (SEC-E04, accepted Checkov items).</t>
        </is>
      </c>
      <c r="D8" s="12" t="inlineStr">
        <is>
          <t>Should</t>
        </is>
      </c>
      <c r="E8" s="13" t="inlineStr">
        <is>
          <t>SOC2 CC6.1, CC6.6; HITRUST 08, 11; ISO27001 A.8.20, A.8.22</t>
        </is>
      </c>
      <c r="F8" s="13" t="inlineStr">
        <is>
          <t>ALL – All subsidiaries &amp; departments (group-wide)</t>
        </is>
      </c>
      <c r="G8" s="14" t="n"/>
      <c r="H8" s="15" t="n"/>
    </row>
    <row r="9" ht="53.4" customHeight="1">
      <c r="A9" s="12" t="inlineStr">
        <is>
          <t>E15-HLR-05</t>
        </is>
      </c>
      <c r="B9" s="13" t="inlineStr">
        <is>
          <t>Access to restricted-class documents through the generic documents API shall be decided per programme, so that the MRO can open substance-programme documents while separation between psychological-health and substance-testing records is preserved.</t>
        </is>
      </c>
      <c r="C9" s="13" t="inlineStr">
        <is>
          <t>Finding F-16: the MRO is denied (fail closed) on the generic API because the restricted class carries no programme attribute (SEC-E05).</t>
        </is>
      </c>
      <c r="D9" s="12" t="inlineStr">
        <is>
          <t>Should</t>
        </is>
      </c>
      <c r="E9" s="13" t="inlineStr">
        <is>
          <t>SOC2 CC6.1, CC6.3, C1.1; HITRUST 11, 19; LOCAL-PDP; ICAO-9654; EU-1042</t>
        </is>
      </c>
      <c r="F9" s="13" t="inlineStr">
        <is>
          <t>ALL – substance-testing population (safety-sensitive roles: FLT, CAB, ENG, GND)</t>
        </is>
      </c>
      <c r="G9" s="14" t="n"/>
      <c r="H9" s="15" t="n"/>
    </row>
    <row r="10" ht="40.8" customHeight="1">
      <c r="A10" s="12" t="inlineStr">
        <is>
          <t>E15-HLR-06</t>
        </is>
      </c>
      <c r="B10" s="13" t="inlineStr">
        <is>
          <t>Outside the local development profile, the core API and the BFF shall refuse to start when a demo identity or a known local-only secret is configured, and the configuration service shall reject demo identities for restricted-class settings.</t>
        </is>
      </c>
      <c r="C10" s="13" t="inlineStr">
        <is>
          <t>Finding F-17: 'mentalhealth.named-clinicians' is seeded with the demo user psych1 in every environment; local-only secrets exist in local files (SEC-E06).</t>
        </is>
      </c>
      <c r="D10" s="12" t="inlineStr">
        <is>
          <t>Must</t>
        </is>
      </c>
      <c r="E10" s="13" t="inlineStr">
        <is>
          <t>SOC2 CC6.1, CC8.1; HITRUST 06, 10; OWASP-T10 A05, A07</t>
        </is>
      </c>
      <c r="F10" s="13" t="inlineStr">
        <is>
          <t>ALL – All subsidiaries &amp; departments (group-wide)</t>
        </is>
      </c>
      <c r="G10" s="14" t="n"/>
      <c r="H10" s="15" t="n"/>
    </row>
    <row r="11" ht="40.8" customHeight="1">
      <c r="A11" s="12" t="inlineStr">
        <is>
          <t>E15-HLR-07</t>
        </is>
      </c>
      <c r="B11" s="13" t="inlineStr">
        <is>
          <t>Request-rate limits shall apply per principal across all replicas and shall weight expensive operations (exports, reports, audit packs, bulk operations) higher than ordinary reads.</t>
        </is>
      </c>
      <c r="C11" s="13" t="inlineStr">
        <is>
          <t>ApiRateLimitFilter (finding F-03) keeps buckets per pod, so the effective limit grows with replicas; all requests cost the same (SEC-E07).</t>
        </is>
      </c>
      <c r="D11" s="12" t="inlineStr">
        <is>
          <t>Should</t>
        </is>
      </c>
      <c r="E11" s="13" t="inlineStr">
        <is>
          <t>SOC2 A1.1, CC7.2; HITRUST 08, 12; OWASP-API API4, API6</t>
        </is>
      </c>
      <c r="F11" s="13" t="inlineStr">
        <is>
          <t>ALL – All subsidiaries &amp; departments (group-wide)</t>
        </is>
      </c>
      <c r="G11" s="14" t="n"/>
      <c r="H11" s="15" t="n"/>
    </row>
    <row r="12" ht="53.4" customHeight="1">
      <c r="A12" s="12" t="inlineStr">
        <is>
          <t>E15-HLR-08</t>
        </is>
      </c>
      <c r="B12" s="13" t="inlineStr">
        <is>
          <t>Runtime threats in containers and security-relevant application events (break-glass, mass export, enumeration, authentication attacks, rate-limit storms, configuration changes, audit-chain failures) shall be detected in the SIEM, with documented response runbooks.</t>
        </is>
      </c>
      <c r="C12" s="13" t="inlineStr">
        <is>
          <t>The application audits these events, but no SOC detection is defined and container runtime threats are not detected (SEC-E08).</t>
        </is>
      </c>
      <c r="D12" s="12" t="inlineStr">
        <is>
          <t>Must</t>
        </is>
      </c>
      <c r="E12" s="13" t="inlineStr">
        <is>
          <t>SOC2 CC7.2, CC7.3, CC7.4; HITRUST 12, 15; ISO27001 A.8.15, A.8.16; OWASP-T10 A09</t>
        </is>
      </c>
      <c r="F12" s="13" t="inlineStr">
        <is>
          <t>ALL – All subsidiaries &amp; departments (group-wide)</t>
        </is>
      </c>
      <c r="G12" s="14" t="n"/>
      <c r="H12" s="15" t="n"/>
    </row>
    <row r="13" ht="53.4" customHeight="1">
      <c r="A13" s="12" t="inlineStr">
        <is>
          <t>E15-HLR-09</t>
        </is>
      </c>
      <c r="B13" s="13" t="inlineStr">
        <is>
          <t>All PROD data stores holding personal or health data shall be encrypted with customer-managed, HSM-backed keys, and the field-encryption master key shall be protected by envelope encryption in the cloud key-management service.</t>
        </is>
      </c>
      <c r="C13" s="13" t="inlineStr">
        <is>
          <t>Cloud SQL uses CMEK, Azure PostgreSQL does not (postgres_cmk_enabled = false); the key type is fixed at server creation. Residual risk RR1: single master key (SEC-E09).</t>
        </is>
      </c>
      <c r="D13" s="12" t="inlineStr">
        <is>
          <t>Must</t>
        </is>
      </c>
      <c r="E13" s="13" t="inlineStr">
        <is>
          <t>SOC2 CC6.1, C1.1; HITRUST 19; ISO27001 A.8.24; LOCAL-PDP</t>
        </is>
      </c>
      <c r="F13" s="13" t="inlineStr">
        <is>
          <t>ALL – All subsidiaries &amp; departments (group-wide)</t>
        </is>
      </c>
      <c r="G13" s="14" t="n"/>
      <c r="H13" s="15" t="n"/>
    </row>
    <row r="14" ht="40.8" customHeight="1">
      <c r="A14" s="12" t="inlineStr">
        <is>
          <t>E15-HLR-10</t>
        </is>
      </c>
      <c r="B14" s="13" t="inlineStr">
        <is>
          <t>Internet-facing entry points shall be protected against volumetric DDoS and automated (bot) attacks within the client's data-residency constraints.</t>
        </is>
      </c>
      <c r="C14" s="13" t="inlineStr">
        <is>
          <t>Front Door is disabled in every environment; no DDoS Network Protection or bot management is configured (SEC-E10).</t>
        </is>
      </c>
      <c r="D14" s="12" t="inlineStr">
        <is>
          <t>Should</t>
        </is>
      </c>
      <c r="E14" s="13" t="inlineStr">
        <is>
          <t>SOC2 A1.1, CC6.6; HITRUST 08, 16; OWASP-API API4, API6</t>
        </is>
      </c>
      <c r="F14" s="13" t="inlineStr">
        <is>
          <t>ALL – All subsidiaries &amp; departments (group-wide)</t>
        </is>
      </c>
      <c r="G14" s="14" t="n"/>
      <c r="H14" s="15" t="n"/>
    </row>
    <row r="15" ht="40.8" customHeight="1">
      <c r="A15" s="12" t="inlineStr">
        <is>
          <t>E15-HLR-11</t>
        </is>
      </c>
      <c r="B15" s="13" t="inlineStr">
        <is>
          <t>The native employee app shall meet OWASP MASVS (MAS testing profile L2 plus resilience) before store release, including secure token storage, certificate pinning and compromised-device detection.</t>
        </is>
      </c>
      <c r="C15" s="13" t="inlineStr">
        <is>
          <t>Residual risk RR7 (secure storage and MAM not integrated); no pinning or root / jailbreak detection (SEC-E11).</t>
        </is>
      </c>
      <c r="D15" s="12" t="inlineStr">
        <is>
          <t>Should</t>
        </is>
      </c>
      <c r="E15" s="13" t="inlineStr">
        <is>
          <t>SOC2 CC6.1, CC6.7; HITRUST 04, 02; OWASP-MASVS</t>
        </is>
      </c>
      <c r="F15" s="13" t="inlineStr">
        <is>
          <t>ALL – employee app users (crew and ground staff on mobile devices)</t>
        </is>
      </c>
      <c r="G15" s="14" t="n"/>
      <c r="H15" s="15" t="n"/>
    </row>
    <row r="16" ht="40.8" customHeight="1">
      <c r="A16" s="12" t="inlineStr">
        <is>
          <t>E15-HLR-12</t>
        </is>
      </c>
      <c r="B16" s="13" t="inlineStr">
        <is>
          <t>Automated security verification and the role-based access-control matrix shall run in CI against an ephemeral stack and block releases on any failed check or unexpected access, including endpoints without an expected policy.</t>
        </is>
      </c>
      <c r="C16" s="13" t="inlineStr">
        <is>
          <t>Both tools proved their value in the assessment but run manually; a new endpoint can silently miss its role gate (SEC-E12).</t>
        </is>
      </c>
      <c r="D16" s="12" t="inlineStr">
        <is>
          <t>Must</t>
        </is>
      </c>
      <c r="E16" s="13" t="inlineStr">
        <is>
          <t>SOC2 CC7.1, CC8.1; HITRUST 06, 07; ISO27001 A.8.29; OWASP-ASVS; OWASP-API API1, API5</t>
        </is>
      </c>
      <c r="F16" s="13" t="inlineStr">
        <is>
          <t>ALL – All subsidiaries &amp; departments (group-wide)</t>
        </is>
      </c>
      <c r="G16" s="14" t="n"/>
      <c r="H16" s="15" t="n"/>
    </row>
    <row r="17" ht="53.4" customHeight="1">
      <c r="A17" s="12" t="inlineStr">
        <is>
          <t>E15-HLR-13</t>
        </is>
      </c>
      <c r="B17" s="13" t="inlineStr">
        <is>
          <t>Vulnerabilities shall be remediated in PROD within 48 hours (critical), 7 days (high), 30 days (medium) and 90 days (low), deployed images shall be re-scanned daily, and platform components (including PostgreSQL) shall stay on supported major versions.</t>
        </is>
      </c>
      <c r="C17" s="13" t="inlineStr">
        <is>
          <t>Findings F-01 / F-02 show the dependency tree moves under a stable application; doc 02 SLAs (7 d / 30 d) are too slow for a Tier-0 platform (SEC-E13).</t>
        </is>
      </c>
      <c r="D17" s="12" t="inlineStr">
        <is>
          <t>Must</t>
        </is>
      </c>
      <c r="E17" s="13" t="inlineStr">
        <is>
          <t>SOC2 CC7.1, CC8.1; HITRUST 07; ISO27001 A.8.8; OWASP-T10 A06</t>
        </is>
      </c>
      <c r="F17" s="13" t="inlineStr">
        <is>
          <t>ALL – All subsidiaries &amp; departments (group-wide)</t>
        </is>
      </c>
      <c r="G17" s="14" t="n"/>
      <c r="H17" s="15" t="n"/>
    </row>
    <row r="18" ht="53.4" customHeight="1">
      <c r="A18" s="12" t="inlineStr">
        <is>
          <t>E15-HLR-14</t>
        </is>
      </c>
      <c r="B18" s="13" t="inlineStr">
        <is>
          <t>Each delivery increment shall refresh the STRIDE threat model and add automated abuse-case tests for new flows; restricted classes shall be covered by a maintained abuse-case catalogue.</t>
        </is>
      </c>
      <c r="C18" s="13" t="inlineStr">
        <is>
          <t>Insider curiosity, colleague look-ups, partner over-reach and inference from aggregates are the most likely real-world threats (SEC-E14, residual risk RR10).</t>
        </is>
      </c>
      <c r="D18" s="12" t="inlineStr">
        <is>
          <t>Must</t>
        </is>
      </c>
      <c r="E18" s="13" t="inlineStr">
        <is>
          <t>SOC2 CC3.2, CC3.4, CC8.1; HITRUST 17; ISO27001 A.5.8, A.8.25; OWASP-T10 A04</t>
        </is>
      </c>
      <c r="F18" s="13" t="inlineStr">
        <is>
          <t>ALL – All subsidiaries &amp; departments (group-wide)</t>
        </is>
      </c>
      <c r="G18" s="14" t="n"/>
      <c r="H18" s="15" t="n"/>
    </row>
    <row r="19" ht="40.8" customHeight="1">
      <c r="A19" s="12" t="inlineStr">
        <is>
          <t>E15-HLR-15</t>
        </is>
      </c>
      <c r="B19" s="13" t="inlineStr">
        <is>
          <t>Hybrid deployments shall provide WAF protection and per-client rate limiting at the on-premises API edge, an optional per-partner IP allow-list, and edge egress restricted to required destinations.</t>
        </is>
      </c>
      <c r="C19" s="13" t="inlineStr">
        <is>
          <t>The on-premises API has no cloud WAF; the hybrid edge NetworkPolicy allows HTTPS egress to any address (SEC-E15).</t>
        </is>
      </c>
      <c r="D19" s="12" t="inlineStr">
        <is>
          <t>Should</t>
        </is>
      </c>
      <c r="E19" s="13" t="inlineStr">
        <is>
          <t>SOC2 CC6.6, A1.1; HITRUST 08, 14; OWASP-API API4</t>
        </is>
      </c>
      <c r="F19" s="13" t="inlineStr">
        <is>
          <t>ALL – hybrid (on-premises core) deployments only</t>
        </is>
      </c>
      <c r="G19" s="14" t="n"/>
      <c r="H19" s="15" t="n"/>
    </row>
    <row r="20" ht="40.8" customHeight="1">
      <c r="A20" s="12" t="inlineStr">
        <is>
          <t>E15-HLR-16</t>
        </is>
      </c>
      <c r="B20" s="13" t="inlineStr">
        <is>
          <t>The secure-by-default guardrails GR-01 to GR-20 shall be protected by automated regression tests or lint rules wherever technically possible; any weakening shall require a recorded CISO exception with owner and expiry.</t>
        </is>
      </c>
      <c r="C20" s="13" t="inlineStr">
        <is>
          <t>Guardrails are enforced today by code and review; several (no dangerouslySetInnerHTML, rate limit on, minimum group size) have no automated guard.</t>
        </is>
      </c>
      <c r="D20" s="12" t="inlineStr">
        <is>
          <t>Must</t>
        </is>
      </c>
      <c r="E20" s="13" t="inlineStr">
        <is>
          <t>SOC2 CC5.2, CC8.1; HITRUST 06; ISO27001 A.8.9, A.8.28</t>
        </is>
      </c>
      <c r="F20" s="13" t="inlineStr">
        <is>
          <t>ALL – All subsidiaries &amp; departments (group-wide)</t>
        </is>
      </c>
      <c r="G20" s="14" t="n"/>
      <c r="H20" s="15" t="n"/>
    </row>
    <row r="21" ht="40.8" customHeight="1">
      <c r="A21" s="12" t="inlineStr">
        <is>
          <t>E15-HLR-17</t>
        </is>
      </c>
      <c r="B21" s="13" t="inlineStr">
        <is>
          <t>Security operations shall run on a defined cadence: quarterly access reviews (monthly for privileged and restricted roles), annual independent penetration testing, a security-champions programme and an annual incident tabletop exercise.</t>
        </is>
      </c>
      <c r="C21" s="13" t="inlineStr">
        <is>
          <t>Controls must operate effectively over the SOC 2 review period, not only exist at go-live.</t>
        </is>
      </c>
      <c r="D21" s="12" t="inlineStr">
        <is>
          <t>Must</t>
        </is>
      </c>
      <c r="E21" s="13" t="inlineStr">
        <is>
          <t>SOC2 CC1.4, CC4.1, CC6.2, CC6.3, CC7.4; HITRUST 11, 13, 15; ISO27001 A.5.18, A.6.3, A.5.24</t>
        </is>
      </c>
      <c r="F21" s="13" t="inlineStr">
        <is>
          <t>ALL – All subsidiaries &amp; departments (group-wide)</t>
        </is>
      </c>
      <c r="G21" s="14" t="n"/>
      <c r="H21" s="15" t="n"/>
    </row>
  </sheetData>
  <autoFilter ref="A4:H21"/>
  <mergeCells count="3">
    <mergeCell ref="A3:H3"/>
    <mergeCell ref="A2:H2"/>
    <mergeCell ref="A1:H1"/>
  </mergeCells>
  <conditionalFormatting sqref="D5:D21">
    <cfRule type="cellIs" priority="1" operator="equal" dxfId="0">
      <formula>"Must"</formula>
    </cfRule>
    <cfRule type="cellIs" priority="2" operator="equal" dxfId="1">
      <formula>"Should"</formula>
    </cfRule>
    <cfRule type="cellIs" priority="3" operator="equal" dxfId="2">
      <formula>"Could"</formula>
    </cfRule>
  </conditionalFormatting>
  <dataValidations count="1">
    <dataValidation sqref="H5:H21" showDropDown="0" showInputMessage="0" showErrorMessage="0" allowBlank="1" type="list">
      <formula1>"Accept,Modify,Reject,Defer"</formula1>
    </dataValidation>
  </dataValidation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J2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60" customWidth="1" min="3" max="3"/>
    <col width="24" customWidth="1" min="4" max="4"/>
    <col width="12" customWidth="1" min="5" max="5"/>
    <col width="18" customWidth="1" min="6" max="6"/>
    <col width="48" customWidth="1" min="7" max="7"/>
    <col width="36" customWidth="1" min="8" max="8"/>
    <col width="30" customWidth="1" min="9" max="9"/>
    <col width="12" customWidth="1" min="10" max="10"/>
  </cols>
  <sheetData>
    <row r="1" ht="17.35" customHeight="1">
      <c r="A1" s="1" t="inlineStr">
        <is>
          <t>E15 – Low-Level Feature List</t>
        </is>
      </c>
    </row>
    <row r="2" ht="15" customHeight="1">
      <c r="A2" s="2" t="inlineStr">
        <is>
          <t>Features that implement the high-level requirements, with roles, acceptance criteria and deployment-specific notes</t>
        </is>
      </c>
    </row>
    <row r="3" ht="15" customHeight="1">
      <c r="A3" s="3" t="inlineStr">
        <is>
          <t>Airline Group Occupational Health Case Management (OHCM) | v1.0 – Draft for CISO &amp; Cyber GRC review | 30 October 2026</t>
        </is>
      </c>
    </row>
    <row r="4" ht="31.5" customHeight="1">
      <c r="A4" s="11" t="inlineStr">
        <is>
          <t>Feature ID</t>
        </is>
      </c>
      <c r="B4" s="11" t="inlineStr">
        <is>
          <t>Feature</t>
        </is>
      </c>
      <c r="C4" s="11" t="inlineStr">
        <is>
          <t>Description</t>
        </is>
      </c>
      <c r="D4" s="11" t="inlineStr">
        <is>
          <t>Primary roles</t>
        </is>
      </c>
      <c r="E4" s="11" t="inlineStr">
        <is>
          <t>Priority (MoSCoW)</t>
        </is>
      </c>
      <c r="F4" s="11" t="inlineStr">
        <is>
          <t>Traces to HLR</t>
        </is>
      </c>
      <c r="G4" s="11" t="inlineStr">
        <is>
          <t>Acceptance criteria (summary)</t>
        </is>
      </c>
      <c r="H4" s="11" t="inlineStr">
        <is>
          <t>Unit-specific notes</t>
        </is>
      </c>
      <c r="I4" s="11" t="inlineStr">
        <is>
          <t>Review comment</t>
        </is>
      </c>
      <c r="J4" s="11" t="inlineStr">
        <is>
          <t>Decision</t>
        </is>
      </c>
    </row>
    <row r="5" ht="53.4" customHeight="1">
      <c r="A5" s="12" t="inlineStr">
        <is>
          <t>E15-F01</t>
        </is>
      </c>
      <c r="B5" s="13" t="inlineStr">
        <is>
          <t>Independent penetration test and retest</t>
        </is>
      </c>
      <c r="C5" s="13" t="inlineStr">
        <is>
          <t>CREST/OSCP-certified test of UAT: authenticated testing with every role, all 754 documented API operations, partner portal with MFA, integration endpoints, mobile build and cloud configuration review; remediation and retest.</t>
        </is>
      </c>
      <c r="D5" s="13" t="inlineStr">
        <is>
          <t>CISO office; Platform Security; external tester; all delivery teams</t>
        </is>
      </c>
      <c r="E5" s="12" t="inlineStr">
        <is>
          <t>Must</t>
        </is>
      </c>
      <c r="F5" s="13" t="inlineStr">
        <is>
          <t>E15-HLR-01</t>
        </is>
      </c>
      <c r="G5" s="13" t="inlineStr">
        <is>
          <t>Report received; no Critical/High open at go-live; Mediums owned and dated within SLA; retest letter in the release record.</t>
        </is>
      </c>
      <c r="H5" s="13" t="inlineStr">
        <is>
          <t>Restricted-class roles (PSYCH_CLINICIAN, MRO) and external roles explicitly in scope.</t>
        </is>
      </c>
      <c r="I5" s="14" t="n"/>
      <c r="J5" s="15" t="n"/>
    </row>
    <row r="6" ht="40.8" customHeight="1">
      <c r="A6" s="12" t="inlineStr">
        <is>
          <t>E15-F02</t>
        </is>
      </c>
      <c r="B6" s="13" t="inlineStr">
        <is>
          <t>Release evidence: image scans and SBOM attestations</t>
        </is>
      </c>
      <c r="C6" s="13" t="inlineStr">
        <is>
          <t>Trivy JSON/SARIF report per image digest stored as artefact; SBOM attestation verified with cosign in deploy-env.yml; deployment summary links the evidence; copy to evidence store.</t>
        </is>
      </c>
      <c r="D6" s="13" t="inlineStr">
        <is>
          <t>Platform / DevOps; Cyber GRC</t>
        </is>
      </c>
      <c r="E6" s="12" t="inlineStr">
        <is>
          <t>Must</t>
        </is>
      </c>
      <c r="F6" s="13" t="inlineStr">
        <is>
          <t>E15-HLR-02</t>
        </is>
      </c>
      <c r="G6" s="13" t="inlineStr">
        <is>
          <t>Deploy fails closed without a valid SBOM attestation; every UAT/PROD deployment summary links scan reports of the exact digests; retention ≥ 13 months.</t>
        </is>
      </c>
      <c r="H6" s="13" t="inlineStr">
        <is>
          <t>None</t>
        </is>
      </c>
      <c r="I6" s="14" t="n"/>
      <c r="J6" s="15" t="n"/>
    </row>
    <row r="7" ht="53.4" customHeight="1">
      <c r="A7" s="12" t="inlineStr">
        <is>
          <t>E15-F03</t>
        </is>
      </c>
      <c r="B7" s="13" t="inlineStr">
        <is>
          <t>Signed-image admission on AKS and hybrid clusters</t>
        </is>
      </c>
      <c r="C7" s="13" t="inlineStr">
        <is>
          <t>Admission policy verifying the cosign keyless signature (identity container.yml@refs/heads/main): AKS Image Integrity (Ratify + Azure Policy) where available, otherwise Kyverno verifyImages; Sigstore policy-controller or Kyverno on hybrid clusters.</t>
        </is>
      </c>
      <c r="D7" s="13" t="inlineStr">
        <is>
          <t>Platform / DevOps</t>
        </is>
      </c>
      <c r="E7" s="12" t="inlineStr">
        <is>
          <t>Must</t>
        </is>
      </c>
      <c r="F7" s="13" t="inlineStr">
        <is>
          <t>E15-HLR-03</t>
        </is>
      </c>
      <c r="G7" s="13" t="inlineStr">
        <is>
          <t>Audit in DEV, deny in UAT/PROD; unsigned and foreign-signed images rejected in UAT; exemptions listed; RR11 closed.</t>
        </is>
      </c>
      <c r="H7" s="13" t="inlineStr">
        <is>
          <t>GKE already enforces Binary Authorization.</t>
        </is>
      </c>
      <c r="I7" s="14" t="n"/>
      <c r="J7" s="15" t="n"/>
    </row>
    <row r="8" ht="40.8" customHeight="1">
      <c r="A8" s="12" t="inlineStr">
        <is>
          <t>E15-F04</t>
        </is>
      </c>
      <c r="B8" s="13" t="inlineStr">
        <is>
          <t>Private build, registry and control-plane paths</t>
        </is>
      </c>
      <c r="C8" s="13" t="inlineStr">
        <is>
          <t>Self-hosted ephemeral runners in the cloud networks; ACR public access off and no Key Vault IP rules in UAT/PROD; GKE private endpoint in PROD; Google Groups for GKE RBAC.</t>
        </is>
      </c>
      <c r="D8" s="13" t="inlineStr">
        <is>
          <t>Platform / DevOps; Network; IAM</t>
        </is>
      </c>
      <c r="E8" s="12" t="inlineStr">
        <is>
          <t>Should</t>
        </is>
      </c>
      <c r="F8" s="13" t="inlineStr">
        <is>
          <t>E15-HLR-04</t>
        </is>
      </c>
      <c r="G8" s="13" t="inlineStr">
        <is>
          <t>acr_public_network_access = false; key_vault_allowed_ips empty; gke_private_endpoint = true (PROD); gke_rbac_security_group set; pipelines green end to end.</t>
        </is>
      </c>
      <c r="H8" s="13" t="inlineStr">
        <is>
          <t>AKS UAT/PROD already private clusters.</t>
        </is>
      </c>
      <c r="I8" s="14" t="n"/>
      <c r="J8" s="15" t="n"/>
    </row>
    <row r="9" ht="53.4" customHeight="1">
      <c r="A9" s="12" t="inlineStr">
        <is>
          <t>E15-F05</t>
        </is>
      </c>
      <c r="B9" s="13" t="inlineStr">
        <is>
          <t>Programme-aware restricted-document access (MRO)</t>
        </is>
      </c>
      <c r="C9" s="13" t="inlineStr">
        <is>
          <t>Programme attribute for restricted resources; ABAC policy letting the MRO (and listed acting-MRO physicians) open E10 documents such as CHAIN_OF_CUSTODY_FORM through the generic documents API; explicit programme separation.</t>
        </is>
      </c>
      <c r="D9" s="13" t="inlineStr">
        <is>
          <t>MRO; acting-MRO physician; DPO; OH governance</t>
        </is>
      </c>
      <c r="E9" s="12" t="inlineStr">
        <is>
          <t>Should</t>
        </is>
      </c>
      <c r="F9" s="13" t="inlineStr">
        <is>
          <t>E15-HLR-05</t>
        </is>
      </c>
      <c r="G9" s="13" t="inlineStr">
        <is>
          <t>MRO opens E10 restricted documents via /documents; MRO gets 404 on E09 documents; general OH, managers, HR and unbound clients get 404; every denial audited.</t>
        </is>
      </c>
      <c r="H9" s="13" t="inlineStr">
        <is>
          <t>Applies to safety-sensitive populations in the testing programme.</t>
        </is>
      </c>
      <c r="I9" s="14" t="n"/>
      <c r="J9" s="15" t="n"/>
    </row>
    <row r="10" ht="40.8" customHeight="1">
      <c r="A10" s="12" t="inlineStr">
        <is>
          <t>E15-F06</t>
        </is>
      </c>
      <c r="B10" s="13" t="inlineStr">
        <is>
          <t>Startup guard against demo identities and local-only secrets</t>
        </is>
      </c>
      <c r="C10" s="13" t="inlineStr">
        <is>
          <t>Fail-fast check in core API and BFF outside local/test profiles for known local-only secret values and demo identities in restricted-class configuration; configuration service rejects demo identities.</t>
        </is>
      </c>
      <c r="D10" s="13" t="inlineStr">
        <is>
          <t>Core API team; Platform / DevOps</t>
        </is>
      </c>
      <c r="E10" s="12" t="inlineStr">
        <is>
          <t>Must</t>
        </is>
      </c>
      <c r="F10" s="13" t="inlineStr">
        <is>
          <t>E15-HLR-06</t>
        </is>
      </c>
      <c r="G10" s="13" t="inlineStr">
        <is>
          <t>Startup fails with a message naming the property (never the value); unit tests per rule; UAT/PROD values pass; go-live checklist updated.</t>
        </is>
      </c>
      <c r="H10" s="13" t="inlineStr">
        <is>
          <t>None</t>
        </is>
      </c>
      <c r="I10" s="14" t="n"/>
      <c r="J10" s="15" t="n"/>
    </row>
    <row r="11" ht="40.8" customHeight="1">
      <c r="A11" s="12" t="inlineStr">
        <is>
          <t>E15-F07</t>
        </is>
      </c>
      <c r="B11" s="13" t="inlineStr">
        <is>
          <t>Cluster-wide and cost-based rate limiting</t>
        </is>
      </c>
      <c r="C11" s="13" t="inlineStr">
        <is>
          <t>Shared limit store or edge-enforced per-principal limits independent of replica count; cost classes for exports, reports, audit packs and bulk operations; per-environment and per-client configuration.</t>
        </is>
      </c>
      <c r="D11" s="13" t="inlineStr">
        <is>
          <t>Core API team; Platform / DevOps</t>
        </is>
      </c>
      <c r="E11" s="12" t="inlineStr">
        <is>
          <t>Should</t>
        </is>
      </c>
      <c r="F11" s="13" t="inlineStr">
        <is>
          <t>E15-HLR-07</t>
        </is>
      </c>
      <c r="G11" s="13" t="inlineStr">
        <is>
          <t>Load test shows the limit is independent of replica count; expensive endpoints limited separately; fail-open behaviour reviewed and documented.</t>
        </is>
      </c>
      <c r="H11" s="13" t="inlineStr">
        <is>
          <t>None</t>
        </is>
      </c>
      <c r="I11" s="14" t="n"/>
      <c r="J11" s="15" t="n"/>
    </row>
    <row r="12" ht="40.8" customHeight="1">
      <c r="A12" s="12" t="inlineStr">
        <is>
          <t>E15-F08</t>
        </is>
      </c>
      <c r="B12" s="13" t="inlineStr">
        <is>
          <t>Runtime protection and SIEM detections</t>
        </is>
      </c>
      <c r="C12" s="13" t="inlineStr">
        <is>
          <t>Defender for Containers / GKE Security Posture with threat detection / Falco on hybrid; audit trail and logs streamed to SIEM; detections D-01…D-12; PHI-free 429 counter; runbooks.</t>
        </is>
      </c>
      <c r="D12" s="13" t="inlineStr">
        <is>
          <t>SOC; Platform / DevOps; Platform Security</t>
        </is>
      </c>
      <c r="E12" s="12" t="inlineStr">
        <is>
          <t>Must</t>
        </is>
      </c>
      <c r="F12" s="13" t="inlineStr">
        <is>
          <t>E15-HLR-08</t>
        </is>
      </c>
      <c r="G12" s="13" t="inlineStr">
        <is>
          <t>Detections implemented and tested with synthetic events; runbooks linked; high-severity alerts triaged within 1 hour (≥ 95 %).</t>
        </is>
      </c>
      <c r="H12" s="13" t="inlineStr">
        <is>
          <t>None</t>
        </is>
      </c>
      <c r="I12" s="14" t="n"/>
      <c r="J12" s="15" t="n"/>
    </row>
    <row r="13" ht="40.8" customHeight="1">
      <c r="A13" s="12" t="inlineStr">
        <is>
          <t>E15-F09</t>
        </is>
      </c>
      <c r="B13" s="13" t="inlineStr">
        <is>
          <t>Customer-managed keys and envelope encryption</t>
        </is>
      </c>
      <c r="C13" s="13" t="inlineStr">
        <is>
          <t>ADR on CMK; Azure PostgreSQL CMK with geo-backup key in UAT/PROD; envelope encryption of the field-encryption master key through the cloud KMS with a re-encryption job; key-loss and rotation runbook.</t>
        </is>
      </c>
      <c r="D13" s="13" t="inlineStr">
        <is>
          <t>Platform Security; DBA; DPO</t>
        </is>
      </c>
      <c r="E13" s="12" t="inlineStr">
        <is>
          <t>Must</t>
        </is>
      </c>
      <c r="F13" s="13" t="inlineStr">
        <is>
          <t>E15-HLR-09</t>
        </is>
      </c>
      <c r="G13" s="13" t="inlineStr">
        <is>
          <t>ADR signed by CISO and DPO before the PROD server is created; postgres_cmk_enabled = true; restore with rotated key proven in UAT; RR1 closed.</t>
        </is>
      </c>
      <c r="H13" s="13" t="inlineStr">
        <is>
          <t>Cloud SQL already uses CMEK.</t>
        </is>
      </c>
      <c r="I13" s="14" t="n"/>
      <c r="J13" s="15" t="n"/>
    </row>
    <row r="14" ht="40.8" customHeight="1">
      <c r="A14" s="12" t="inlineStr">
        <is>
          <t>E15-F10</t>
        </is>
      </c>
      <c r="B14" s="13" t="inlineStr">
        <is>
          <t>Global WAF, bot and DDoS protection</t>
        </is>
      </c>
      <c r="C14" s="13" t="inlineStr">
        <is>
          <t>Data-residency assessment; Front Door Premium WAF with bot manager rule set (if approved) or App Gateway rate rules; DDoS Network/IP Protection; Cloud Armor Adaptive Protection.</t>
        </is>
      </c>
      <c r="D14" s="13" t="inlineStr">
        <is>
          <t>Platform / Network; DPO</t>
        </is>
      </c>
      <c r="E14" s="12" t="inlineStr">
        <is>
          <t>Should</t>
        </is>
      </c>
      <c r="F14" s="13" t="inlineStr">
        <is>
          <t>E15-HLR-10</t>
        </is>
      </c>
      <c r="G14" s="13" t="inlineStr">
        <is>
          <t>Residency decision recorded; protections enabled in PROD; load test proves shift-change peaks are not blocked.</t>
        </is>
      </c>
      <c r="H14" s="13" t="inlineStr">
        <is>
          <t>None</t>
        </is>
      </c>
      <c r="I14" s="14" t="n"/>
      <c r="J14" s="15" t="n"/>
    </row>
    <row r="15" ht="40.8" customHeight="1">
      <c r="A15" s="12" t="inlineStr">
        <is>
          <t>E15-F11</t>
        </is>
      </c>
      <c r="B15" s="13" t="inlineStr">
        <is>
          <t>Mobile app hardening and MASVS assessment</t>
        </is>
      </c>
      <c r="C15" s="13" t="inlineStr">
        <is>
          <t>Refresh token in Keychain/Keystore; app-protection policies through MDM; certificate pinning with backup pin; root/jailbreak and debugger detection; independent MASVS assessment.</t>
        </is>
      </c>
      <c r="D15" s="13" t="inlineStr">
        <is>
          <t>Mobile team; Endpoint team; Platform Security</t>
        </is>
      </c>
      <c r="E15" s="12" t="inlineStr">
        <is>
          <t>Should</t>
        </is>
      </c>
      <c r="F15" s="13" t="inlineStr">
        <is>
          <t>E15-HLR-11</t>
        </is>
      </c>
      <c r="G15" s="13" t="inlineStr">
        <is>
          <t>MASVS assessment with no High open before store release; pin-rotation runbook; RR7 closed.</t>
        </is>
      </c>
      <c r="H15" s="13" t="inlineStr">
        <is>
          <t>Crew devices may be shared or personally owned – policy decision on block vs warn.</t>
        </is>
      </c>
      <c r="I15" s="14" t="n"/>
      <c r="J15" s="15" t="n"/>
    </row>
    <row r="16" ht="53.4" customHeight="1">
      <c r="A16" s="12" t="inlineStr">
        <is>
          <t>E15-F12</t>
        </is>
      </c>
      <c r="B16" s="13" t="inlineStr">
        <is>
          <t>Security verification and access matrix in CI</t>
        </is>
      </c>
      <c r="C16" s="13" t="inlineStr">
        <is>
          <t>Policy extractor tools/security/rbac-extract-policy.py with unit tests; CI workflow with ephemeral Docker Compose stack runs security-verification.js and rbac-matrix.js nightly and on release branches; object-level cases for every module.</t>
        </is>
      </c>
      <c r="D16" s="13" t="inlineStr">
        <is>
          <t>Platform / DevOps; QA; Security champions</t>
        </is>
      </c>
      <c r="E16" s="12" t="inlineStr">
        <is>
          <t>Must</t>
        </is>
      </c>
      <c r="F16" s="13" t="inlineStr">
        <is>
          <t>E15-HLR-12</t>
        </is>
      </c>
      <c r="G16" s="13" t="inlineStr">
        <is>
          <t>Gate fails on any FAIL, unexpected allow or endpoint without expected policy; artefacts and job summary published; never pointed at UAT/PROD.</t>
        </is>
      </c>
      <c r="H16" s="13" t="inlineStr">
        <is>
          <t>None</t>
        </is>
      </c>
      <c r="I16" s="14" t="n"/>
      <c r="J16" s="15" t="n"/>
    </row>
    <row r="17" ht="40.8" customHeight="1">
      <c r="A17" s="12" t="inlineStr">
        <is>
          <t>E15-F13</t>
        </is>
      </c>
      <c r="B17" s="13" t="inlineStr">
        <is>
          <t>Patch SLAs, re-scanning and platform upgrades</t>
        </is>
      </c>
      <c r="C17" s="13" t="inlineStr">
        <is>
          <t>Patch SLA policy (48 h / 7 d / 30 d / 90 d); monthly vulnerability report; daily re-scan of deployed digests; CI check for expired suppressions; PostgreSQL 17/18 upgrade plan and rehearsal.</t>
        </is>
      </c>
      <c r="D17" s="13" t="inlineStr">
        <is>
          <t>Platform Security; Engineering leads; DBA</t>
        </is>
      </c>
      <c r="E17" s="12" t="inlineStr">
        <is>
          <t>Must</t>
        </is>
      </c>
      <c r="F17" s="13" t="inlineStr">
        <is>
          <t>E15-HLR-13</t>
        </is>
      </c>
      <c r="G17" s="13" t="inlineStr">
        <is>
          <t>Policy approved and doc 02 updated; monthly report delivered; expired suppressions fail CI; upgrade rehearsed in DEV/UAT before end of 2027.</t>
        </is>
      </c>
      <c r="H17" s="13" t="inlineStr">
        <is>
          <t>None</t>
        </is>
      </c>
      <c r="I17" s="14" t="n"/>
      <c r="J17" s="15" t="n"/>
    </row>
    <row r="18" ht="40.8" customHeight="1">
      <c r="A18" s="12" t="inlineStr">
        <is>
          <t>E15-F14</t>
        </is>
      </c>
      <c r="B18" s="13" t="inlineStr">
        <is>
          <t>Threat modelling and abuse-case tests</t>
        </is>
      </c>
      <c r="C18" s="13" t="inlineStr">
        <is>
          <t>STRIDE refresh as an entry criterion of each increment's design sign-off; abuse-case catalogue for restricted classes and aggregates (including differencing) with automated tests.</t>
        </is>
      </c>
      <c r="D18" s="13" t="inlineStr">
        <is>
          <t>Security champions; Architecture; QA; DPO</t>
        </is>
      </c>
      <c r="E18" s="12" t="inlineStr">
        <is>
          <t>Must</t>
        </is>
      </c>
      <c r="F18" s="13" t="inlineStr">
        <is>
          <t>E15-HLR-14</t>
        </is>
      </c>
      <c r="G18" s="13" t="inlineStr">
        <is>
          <t>Threat model updated for every increment; each abuse case has a passing automated test; findings tracked in the backlog.</t>
        </is>
      </c>
      <c r="H18" s="13" t="inlineStr">
        <is>
          <t>None</t>
        </is>
      </c>
      <c r="I18" s="14" t="n"/>
      <c r="J18" s="15" t="n"/>
    </row>
    <row r="19" ht="40.8" customHeight="1">
      <c r="A19" s="12" t="inlineStr">
        <is>
          <t>E15-F15</t>
        </is>
      </c>
      <c r="B19" s="13" t="inlineStr">
        <is>
          <t>Hybrid edge protection and partner allow-listing</t>
        </is>
      </c>
      <c r="C19" s="13" t="inlineStr">
        <is>
          <t>WAF with OWASP CRS and per-client rate rules in front of the on-premises API; optional per-partner-organisation IP allow-list in the overlay; edge egress narrowed to the IdP and on-premises API.</t>
        </is>
      </c>
      <c r="D19" s="13" t="inlineStr">
        <is>
          <t>Platform / Network; Partner management</t>
        </is>
      </c>
      <c r="E19" s="12" t="inlineStr">
        <is>
          <t>Should</t>
        </is>
      </c>
      <c r="F19" s="13" t="inlineStr">
        <is>
          <t>E15-HLR-15</t>
        </is>
      </c>
      <c r="G19" s="13" t="inlineStr">
        <is>
          <t>WAF active on the on-premises API edge; allow-list configurable per partner; edge NetworkPolicy no longer allows 0.0.0.0/0; hybrid setup guide updated.</t>
        </is>
      </c>
      <c r="H19" s="13" t="inlineStr">
        <is>
          <t>Hybrid deployments only.</t>
        </is>
      </c>
      <c r="I19" s="14" t="n"/>
      <c r="J19" s="15" t="n"/>
    </row>
    <row r="20" ht="53.4" customHeight="1">
      <c r="A20" s="12" t="inlineStr">
        <is>
          <t>E15-F16</t>
        </is>
      </c>
      <c r="B20" s="13" t="inlineStr">
        <is>
          <t>Guardrail regression tests</t>
        </is>
      </c>
      <c r="C20" s="13" t="inlineStr">
        <is>
          <t>Automated guards for guardrails without one today: ESLint rule banning dangerouslySetInnerHTML in all four web apps; configuration tests that keep the rate limit on and the minimum group size ≥ 5 in every non-local values file.</t>
        </is>
      </c>
      <c r="D20" s="13" t="inlineStr">
        <is>
          <t>Web team; Core API team; Security champions</t>
        </is>
      </c>
      <c r="E20" s="12" t="inlineStr">
        <is>
          <t>Must</t>
        </is>
      </c>
      <c r="F20" s="13" t="inlineStr">
        <is>
          <t>E15-HLR-16</t>
        </is>
      </c>
      <c r="G20" s="13" t="inlineStr">
        <is>
          <t>Lint fails on dangerouslySetInnerHTML; CI fails when a non-local overlay disables the rate limit or lowers the minimum group size; guardrail table cross-references the tests.</t>
        </is>
      </c>
      <c r="H20" s="13" t="inlineStr">
        <is>
          <t>None</t>
        </is>
      </c>
      <c r="I20" s="14" t="n"/>
      <c r="J20" s="15" t="n"/>
    </row>
    <row r="21" ht="40.8" customHeight="1">
      <c r="A21" s="12" t="inlineStr">
        <is>
          <t>E15-F17</t>
        </is>
      </c>
      <c r="B21" s="13" t="inlineStr">
        <is>
          <t>Security operations cadence</t>
        </is>
      </c>
      <c r="C21" s="13" t="inlineStr">
        <is>
          <t>Quarterly access reviews (monthly privileged/restricted) with evidence; security-champions programme; annual penetration test and incident tabletop in the security calendar.</t>
        </is>
      </c>
      <c r="D21" s="13" t="inlineStr">
        <is>
          <t>CISO office; OH service owner; IAM; DPO; Engineering leads</t>
        </is>
      </c>
      <c r="E21" s="12" t="inlineStr">
        <is>
          <t>Must</t>
        </is>
      </c>
      <c r="F21" s="13" t="inlineStr">
        <is>
          <t>E15-HLR-17</t>
        </is>
      </c>
      <c r="G21" s="13" t="inlineStr">
        <is>
          <t>First quarterly review completed with evidence; one champion per team nominated; calendar approved; first tabletop held within 6 months of go-live.</t>
        </is>
      </c>
      <c r="H21" s="13" t="inlineStr">
        <is>
          <t>None</t>
        </is>
      </c>
      <c r="I21" s="14" t="n"/>
      <c r="J21" s="15" t="n"/>
    </row>
  </sheetData>
  <autoFilter ref="A4:J21"/>
  <mergeCells count="3">
    <mergeCell ref="A1:J1"/>
    <mergeCell ref="A3:J3"/>
    <mergeCell ref="A2:J2"/>
  </mergeCells>
  <conditionalFormatting sqref="E5:E21">
    <cfRule type="cellIs" priority="1" operator="equal" dxfId="0">
      <formula>"Must"</formula>
    </cfRule>
    <cfRule type="cellIs" priority="2" operator="equal" dxfId="1">
      <formula>"Should"</formula>
    </cfRule>
    <cfRule type="cellIs" priority="3" operator="equal" dxfId="2">
      <formula>"Could"</formula>
    </cfRule>
  </conditionalFormatting>
  <dataValidations count="1">
    <dataValidation sqref="J5:J21" showDropDown="0" showInputMessage="0" showErrorMessage="0" allowBlank="1" type="list">
      <formula1>"Accept,Modify,Reject,Defer"</formula1>
    </dataValidation>
  </dataValidation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O53"/>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14" customWidth="1" min="1" max="1"/>
    <col width="11" customWidth="1" min="2" max="2"/>
    <col width="26" customWidth="1" min="3" max="3"/>
    <col width="9" customWidth="1" min="4" max="4"/>
    <col width="60" customWidth="1" min="5" max="5"/>
    <col width="55" customWidth="1" min="6" max="6"/>
    <col width="10" customWidth="1" min="7" max="7"/>
    <col width="8" customWidth="1" min="8" max="8"/>
    <col width="9" customWidth="1" min="9" max="9"/>
    <col width="24" customWidth="1" min="10" max="10"/>
    <col width="14" customWidth="1" min="11" max="11"/>
    <col width="10" customWidth="1" min="12" max="12"/>
    <col width="13" customWidth="1" min="13" max="13"/>
    <col width="11" customWidth="1" min="14" max="14"/>
    <col width="30" customWidth="1" min="15" max="15"/>
  </cols>
  <sheetData>
    <row r="1" ht="17.35" customHeight="1">
      <c r="A1" s="1" t="inlineStr">
        <is>
          <t>E15 – Implementation Backlog (line by line)</t>
        </is>
      </c>
    </row>
    <row r="2" ht="15" customHeight="1">
      <c r="A2" s="2" t="inlineStr">
        <is>
          <t>User stories, enablers, tasks and spikes with acceptance criteria, indicative estimates, phase, owner and dependencies</t>
        </is>
      </c>
    </row>
    <row r="3" ht="15" customHeight="1">
      <c r="A3" s="3" t="inlineStr">
        <is>
          <t>Airline Group Occupational Health Case Management (OHCM) | v1.0 – Draft for CISO &amp; Cyber GRC review | 30 October 2026</t>
        </is>
      </c>
    </row>
    <row r="4" ht="31.5" customHeight="1">
      <c r="A4" s="11" t="inlineStr">
        <is>
          <t>Backlog ID</t>
        </is>
      </c>
      <c r="B4" s="11" t="inlineStr">
        <is>
          <t>Feature ID</t>
        </is>
      </c>
      <c r="C4" s="11" t="inlineStr">
        <is>
          <t>Feature (lookup)</t>
        </is>
      </c>
      <c r="D4" s="11" t="inlineStr">
        <is>
          <t>Type</t>
        </is>
      </c>
      <c r="E4" s="11" t="inlineStr">
        <is>
          <t>Title / user story</t>
        </is>
      </c>
      <c r="F4" s="11" t="inlineStr">
        <is>
          <t>Acceptance criteria / definition of done</t>
        </is>
      </c>
      <c r="G4" s="11" t="inlineStr">
        <is>
          <t>Story points (indicative)</t>
        </is>
      </c>
      <c r="H4" s="11" t="inlineStr">
        <is>
          <t>Phase</t>
        </is>
      </c>
      <c r="I4" s="11" t="inlineStr">
        <is>
          <t>Priority</t>
        </is>
      </c>
      <c r="J4" s="11" t="inlineStr">
        <is>
          <t>Owner / team</t>
        </is>
      </c>
      <c r="K4" s="11" t="inlineStr">
        <is>
          <t>Dependencies (epics)</t>
        </is>
      </c>
      <c r="L4" s="11" t="inlineStr">
        <is>
          <t>Sprint (to assign)</t>
        </is>
      </c>
      <c r="M4" s="11" t="inlineStr">
        <is>
          <t>Status</t>
        </is>
      </c>
      <c r="N4" s="11" t="inlineStr">
        <is>
          <t>Decision</t>
        </is>
      </c>
      <c r="O4" s="11" t="inlineStr">
        <is>
          <t>Review comment</t>
        </is>
      </c>
    </row>
    <row r="5" ht="40.8" customHeight="1">
      <c r="A5" s="12" t="inlineStr">
        <is>
          <t>E15-BL-001</t>
        </is>
      </c>
      <c r="B5" s="12" t="inlineStr">
        <is>
          <t>E15-F01</t>
        </is>
      </c>
      <c r="C5" s="5">
        <f>IFERROR(INDEX('Feature List'!$B$5:$B$21,MATCH(B5,'Feature List'!$A$5:$A$21,0)),"")</f>
        <v/>
      </c>
      <c r="D5" s="12" t="inlineStr">
        <is>
          <t>Task</t>
        </is>
      </c>
      <c r="E5" s="13" t="inlineStr">
        <is>
          <t>Agree penetration-test scope, rules of engagement and test window; provision UAT test accounts for every role (including PSYCH_CLINICIAN, MRO, PARTNER_PROVIDER with MFA, INTEGRATION client)</t>
        </is>
      </c>
      <c r="F5" s="13" t="inlineStr">
        <is>
          <t>Signed rules of engagement; tester certification verified; accounts and synthetic data ready; out-of-scope systems listed</t>
        </is>
      </c>
      <c r="G5" s="12" t="n">
        <v>5</v>
      </c>
      <c r="H5" s="12" t="inlineStr">
        <is>
          <t>P1</t>
        </is>
      </c>
      <c r="I5" s="12" t="inlineStr">
        <is>
          <t>P1</t>
        </is>
      </c>
      <c r="J5" s="13" t="inlineStr">
        <is>
          <t>Security &amp; Privacy (Platform Security)</t>
        </is>
      </c>
      <c r="K5" s="13" t="inlineStr">
        <is>
          <t>SEC-E01</t>
        </is>
      </c>
      <c r="L5" s="16" t="n"/>
      <c r="M5" s="12" t="inlineStr">
        <is>
          <t>Not started</t>
        </is>
      </c>
      <c r="N5" s="15" t="n"/>
      <c r="O5" s="14" t="n"/>
    </row>
    <row r="6" ht="28.2" customHeight="1">
      <c r="A6" s="12" t="inlineStr">
        <is>
          <t>E15-BL-002</t>
        </is>
      </c>
      <c r="B6" s="12" t="inlineStr">
        <is>
          <t>E15-F01</t>
        </is>
      </c>
      <c r="C6" s="5">
        <f>IFERROR(INDEX('Feature List'!$B$5:$B$21,MATCH(B6,'Feature List'!$A$5:$A$21,0)),"")</f>
        <v/>
      </c>
      <c r="D6" s="12" t="inlineStr">
        <is>
          <t>Story</t>
        </is>
      </c>
      <c r="E6" s="13" t="inlineStr">
        <is>
          <t>As the CISO I want every Critical and High penetration-test finding fixed and retested so that PROD can go live with independent assurance</t>
        </is>
      </c>
      <c r="F6" s="13" t="inlineStr">
        <is>
          <t>All Critical/High fixed and retested; Mediums owned within SLA; retest letter attached to the release record; doc 02 updated</t>
        </is>
      </c>
      <c r="G6" s="12" t="n">
        <v>13</v>
      </c>
      <c r="H6" s="12" t="inlineStr">
        <is>
          <t>P1</t>
        </is>
      </c>
      <c r="I6" s="12" t="inlineStr">
        <is>
          <t>P1</t>
        </is>
      </c>
      <c r="J6" s="13" t="inlineStr">
        <is>
          <t>All delivery teams</t>
        </is>
      </c>
      <c r="K6" s="13" t="inlineStr">
        <is>
          <t>SEC-E01</t>
        </is>
      </c>
      <c r="L6" s="16" t="n"/>
      <c r="M6" s="12" t="inlineStr">
        <is>
          <t>Not started</t>
        </is>
      </c>
      <c r="N6" s="15" t="n"/>
      <c r="O6" s="14" t="n"/>
    </row>
    <row r="7" ht="40.8" customHeight="1">
      <c r="A7" s="12" t="inlineStr">
        <is>
          <t>E15-BL-003</t>
        </is>
      </c>
      <c r="B7" s="12" t="inlineStr">
        <is>
          <t>E15-F02</t>
        </is>
      </c>
      <c r="C7" s="5">
        <f>IFERROR(INDEX('Feature List'!$B$5:$B$21,MATCH(B7,'Feature List'!$A$5:$A$21,0)),"")</f>
        <v/>
      </c>
      <c r="D7" s="12" t="inlineStr">
        <is>
          <t>Enabler</t>
        </is>
      </c>
      <c r="E7" s="13" t="inlineStr">
        <is>
          <t>Store the Trivy JSON and SARIF report per image digest in container.yml and verify the CycloneDX SBOM attestation with cosign verify-attestation in deploy-env.yml for all six images</t>
        </is>
      </c>
      <c r="F7" s="13" t="inlineStr">
        <is>
          <t>Artefacts named by digest; deploy fails closed when an attestation is missing or invalid; tested with a deliberately unattested image in DEV</t>
        </is>
      </c>
      <c r="G7" s="12" t="n">
        <v>5</v>
      </c>
      <c r="H7" s="12" t="inlineStr">
        <is>
          <t>P1</t>
        </is>
      </c>
      <c r="I7" s="12" t="inlineStr">
        <is>
          <t>P1</t>
        </is>
      </c>
      <c r="J7" s="13" t="inlineStr">
        <is>
          <t>Platform / DevOps</t>
        </is>
      </c>
      <c r="K7" s="13" t="inlineStr">
        <is>
          <t>SEC-E02</t>
        </is>
      </c>
      <c r="L7" s="16" t="n"/>
      <c r="M7" s="12" t="inlineStr">
        <is>
          <t>Not started</t>
        </is>
      </c>
      <c r="N7" s="15" t="n"/>
      <c r="O7" s="14" t="n"/>
    </row>
    <row r="8" ht="40.8" customHeight="1">
      <c r="A8" s="12" t="inlineStr">
        <is>
          <t>E15-BL-004</t>
        </is>
      </c>
      <c r="B8" s="12" t="inlineStr">
        <is>
          <t>E15-F02</t>
        </is>
      </c>
      <c r="C8" s="5">
        <f>IFERROR(INDEX('Feature List'!$B$5:$B$21,MATCH(B8,'Feature List'!$A$5:$A$21,0)),"")</f>
        <v/>
      </c>
      <c r="D8" s="12" t="inlineStr">
        <is>
          <t>Task</t>
        </is>
      </c>
      <c r="E8" s="13" t="inlineStr">
        <is>
          <t>Link scan reports and SBOM digests of the deployed digests from every UAT/PROD deployment summary and copy them to the release evidence store</t>
        </is>
      </c>
      <c r="F8" s="13" t="inlineStr">
        <is>
          <t>Evidence present for the first UAT release; retention ≥ 13 months confirmed by Cyber GRC</t>
        </is>
      </c>
      <c r="G8" s="12" t="n">
        <v>3</v>
      </c>
      <c r="H8" s="12" t="inlineStr">
        <is>
          <t>P1</t>
        </is>
      </c>
      <c r="I8" s="12" t="inlineStr">
        <is>
          <t>P2</t>
        </is>
      </c>
      <c r="J8" s="13" t="inlineStr">
        <is>
          <t>Platform / DevOps; Cyber GRC</t>
        </is>
      </c>
      <c r="K8" s="13" t="inlineStr">
        <is>
          <t>SEC-E02</t>
        </is>
      </c>
      <c r="L8" s="16" t="n"/>
      <c r="M8" s="12" t="inlineStr">
        <is>
          <t>Not started</t>
        </is>
      </c>
      <c r="N8" s="15" t="n"/>
      <c r="O8" s="14" t="n"/>
    </row>
    <row r="9" ht="40.8" customHeight="1">
      <c r="A9" s="12" t="inlineStr">
        <is>
          <t>E15-BL-005</t>
        </is>
      </c>
      <c r="B9" s="12" t="inlineStr">
        <is>
          <t>E15-F03</t>
        </is>
      </c>
      <c r="C9" s="5">
        <f>IFERROR(INDEX('Feature List'!$B$5:$B$21,MATCH(B9,'Feature List'!$A$5:$A$21,0)),"")</f>
        <v/>
      </c>
      <c r="D9" s="12" t="inlineStr">
        <is>
          <t>Spike</t>
        </is>
      </c>
      <c r="E9" s="13" t="inlineStr">
        <is>
          <t>Select the admission technology for AKS (AKS Image Integrity with Ratify + Azure Policy vs Kyverno verifyImages) and for hybrid clusters (Sigstore policy-controller vs Kyverno)</t>
        </is>
      </c>
      <c r="F9" s="13" t="inlineStr">
        <is>
          <t>Decision record with regional availability, operating cost, failure mode (fail closed) and keyless-identity support</t>
        </is>
      </c>
      <c r="G9" s="12" t="n">
        <v>3</v>
      </c>
      <c r="H9" s="12" t="inlineStr">
        <is>
          <t>P1</t>
        </is>
      </c>
      <c r="I9" s="12" t="inlineStr">
        <is>
          <t>P1</t>
        </is>
      </c>
      <c r="J9" s="13" t="inlineStr">
        <is>
          <t>Platform / DevOps</t>
        </is>
      </c>
      <c r="K9" s="13" t="inlineStr">
        <is>
          <t>SEC-E03</t>
        </is>
      </c>
      <c r="L9" s="16" t="n"/>
      <c r="M9" s="12" t="inlineStr">
        <is>
          <t>Not started</t>
        </is>
      </c>
      <c r="N9" s="15" t="n"/>
      <c r="O9" s="14" t="n"/>
    </row>
    <row r="10" ht="40.8" customHeight="1">
      <c r="A10" s="12" t="inlineStr">
        <is>
          <t>E15-BL-006</t>
        </is>
      </c>
      <c r="B10" s="12" t="inlineStr">
        <is>
          <t>E15-F03</t>
        </is>
      </c>
      <c r="C10" s="5">
        <f>IFERROR(INDEX('Feature List'!$B$5:$B$21,MATCH(B10,'Feature List'!$A$5:$A$21,0)),"")</f>
        <v/>
      </c>
      <c r="D10" s="12" t="inlineStr">
        <is>
          <t>Enabler</t>
        </is>
      </c>
      <c r="E10" s="13" t="inlineStr">
        <is>
          <t>Enforce signed-image admission on AKS and hybrid clusters: audit mode in DEV, deny mode in UAT and PROD, identity …/container.yml@refs/heads/main</t>
        </is>
      </c>
      <c r="F10" s="13" t="inlineStr">
        <is>
          <t>Unsigned and foreign-signed images rejected in UAT (evidence); system namespaces exempted and justified; Helm deploy and rollback unaffected; RR11 closed</t>
        </is>
      </c>
      <c r="G10" s="12" t="n">
        <v>10</v>
      </c>
      <c r="H10" s="12" t="inlineStr">
        <is>
          <t>P1</t>
        </is>
      </c>
      <c r="I10" s="12" t="inlineStr">
        <is>
          <t>P1</t>
        </is>
      </c>
      <c r="J10" s="13" t="inlineStr">
        <is>
          <t>Platform / DevOps</t>
        </is>
      </c>
      <c r="K10" s="13" t="inlineStr">
        <is>
          <t>SEC-E02; SEC-E03</t>
        </is>
      </c>
      <c r="L10" s="16" t="n"/>
      <c r="M10" s="12" t="inlineStr">
        <is>
          <t>Not started</t>
        </is>
      </c>
      <c r="N10" s="15" t="n"/>
      <c r="O10" s="14" t="n"/>
    </row>
    <row r="11" ht="40.8" customHeight="1">
      <c r="A11" s="12" t="inlineStr">
        <is>
          <t>E15-BL-007</t>
        </is>
      </c>
      <c r="B11" s="12" t="inlineStr">
        <is>
          <t>E15-F04</t>
        </is>
      </c>
      <c r="C11" s="5">
        <f>IFERROR(INDEX('Feature List'!$B$5:$B$21,MATCH(B11,'Feature List'!$A$5:$A$21,0)),"")</f>
        <v/>
      </c>
      <c r="D11" s="12" t="inlineStr">
        <is>
          <t>Enabler</t>
        </is>
      </c>
      <c r="E11" s="13" t="inlineStr">
        <is>
          <t>Run ephemeral self-hosted GitHub runners inside the Azure VNet and Google Cloud VPC (or Connect Gateway) for promotion and deployment jobs</t>
        </is>
      </c>
      <c r="F11" s="13" t="inlineStr">
        <is>
          <t>Runners scale to zero; no stored cloud credentials (OIDC); runner images patched monthly; jobs pinned to the private runners for UAT/PROD</t>
        </is>
      </c>
      <c r="G11" s="12" t="n">
        <v>8</v>
      </c>
      <c r="H11" s="12" t="inlineStr">
        <is>
          <t>P2</t>
        </is>
      </c>
      <c r="I11" s="12" t="inlineStr">
        <is>
          <t>P2</t>
        </is>
      </c>
      <c r="J11" s="13" t="inlineStr">
        <is>
          <t>Platform / DevOps</t>
        </is>
      </c>
      <c r="K11" s="13" t="inlineStr">
        <is>
          <t>SEC-E04</t>
        </is>
      </c>
      <c r="L11" s="16" t="n"/>
      <c r="M11" s="12" t="inlineStr">
        <is>
          <t>Not started</t>
        </is>
      </c>
      <c r="N11" s="15" t="n"/>
      <c r="O11" s="14" t="n"/>
    </row>
    <row r="12" ht="40.8" customHeight="1">
      <c r="A12" s="12" t="inlineStr">
        <is>
          <t>E15-BL-008</t>
        </is>
      </c>
      <c r="B12" s="12" t="inlineStr">
        <is>
          <t>E15-F04</t>
        </is>
      </c>
      <c r="C12" s="5">
        <f>IFERROR(INDEX('Feature List'!$B$5:$B$21,MATCH(B12,'Feature List'!$A$5:$A$21,0)),"")</f>
        <v/>
      </c>
      <c r="D12" s="12" t="inlineStr">
        <is>
          <t>Enabler</t>
        </is>
      </c>
      <c r="E12" s="13" t="inlineStr">
        <is>
          <t>Close public management paths in UAT/PROD: acr_public_network_access = false, key_vault_allowed_ips empty, gke_private_endpoint = true (PROD)</t>
        </is>
      </c>
      <c r="F12" s="13" t="inlineStr">
        <is>
          <t>terraform plan reviewed in DEV first; promotion and deployment green on the private path; Checkov CKV_AZURE_139 passes for UAT/PROD</t>
        </is>
      </c>
      <c r="G12" s="12" t="n">
        <v>8</v>
      </c>
      <c r="H12" s="12" t="inlineStr">
        <is>
          <t>P2</t>
        </is>
      </c>
      <c r="I12" s="12" t="inlineStr">
        <is>
          <t>P2</t>
        </is>
      </c>
      <c r="J12" s="13" t="inlineStr">
        <is>
          <t>Platform / DevOps; Network</t>
        </is>
      </c>
      <c r="K12" s="13" t="inlineStr">
        <is>
          <t>SEC-E04</t>
        </is>
      </c>
      <c r="L12" s="16" t="n"/>
      <c r="M12" s="12" t="inlineStr">
        <is>
          <t>Not started</t>
        </is>
      </c>
      <c r="N12" s="15" t="n"/>
      <c r="O12" s="14" t="n"/>
    </row>
    <row r="13" ht="28.2" customHeight="1">
      <c r="A13" s="12" t="inlineStr">
        <is>
          <t>E15-BL-009</t>
        </is>
      </c>
      <c r="B13" s="12" t="inlineStr">
        <is>
          <t>E15-F04</t>
        </is>
      </c>
      <c r="C13" s="5">
        <f>IFERROR(INDEX('Feature List'!$B$5:$B$21,MATCH(B13,'Feature List'!$A$5:$A$21,0)),"")</f>
        <v/>
      </c>
      <c r="D13" s="12" t="inlineStr">
        <is>
          <t>Task</t>
        </is>
      </c>
      <c r="E13" s="13" t="inlineStr">
        <is>
          <t>Create the client's gke-security-groups@&lt;domain&gt; group, set gke_rbac_security_group and validate the pipelines end to end</t>
        </is>
      </c>
      <c r="F13" s="13" t="inlineStr">
        <is>
          <t>Group-based RBAC bindings in place; access review covers the groups; end-to-end deployment evidence</t>
        </is>
      </c>
      <c r="G13" s="12" t="n">
        <v>5</v>
      </c>
      <c r="H13" s="12" t="inlineStr">
        <is>
          <t>P2</t>
        </is>
      </c>
      <c r="I13" s="12" t="inlineStr">
        <is>
          <t>P3</t>
        </is>
      </c>
      <c r="J13" s="13" t="inlineStr">
        <is>
          <t>Platform / DevOps; IAM</t>
        </is>
      </c>
      <c r="K13" s="13" t="inlineStr">
        <is>
          <t>SEC-E04</t>
        </is>
      </c>
      <c r="L13" s="16" t="n"/>
      <c r="M13" s="12" t="inlineStr">
        <is>
          <t>Not started</t>
        </is>
      </c>
      <c r="N13" s="15" t="n"/>
      <c r="O13" s="14" t="n"/>
    </row>
    <row r="14" ht="28.2" customHeight="1">
      <c r="A14" s="12" t="inlineStr">
        <is>
          <t>E15-BL-010</t>
        </is>
      </c>
      <c r="B14" s="12" t="inlineStr">
        <is>
          <t>E15-F05</t>
        </is>
      </c>
      <c r="C14" s="5">
        <f>IFERROR(INDEX('Feature List'!$B$5:$B$21,MATCH(B14,'Feature List'!$A$5:$A$21,0)),"")</f>
        <v/>
      </c>
      <c r="D14" s="12" t="inlineStr">
        <is>
          <t>Spike</t>
        </is>
      </c>
      <c r="E14" s="13" t="inlineStr">
        <is>
          <t>Design a programme attribute for RESTRICTED_CLINICAL resources (E09 vs E10) and agree the access rules with OH governance and the DPO</t>
        </is>
      </c>
      <c r="F14" s="13" t="inlineStr">
        <is>
          <t>Decision record: who may open which programme's documents; impact on ResourceAttributes, DocumentService and existing policies</t>
        </is>
      </c>
      <c r="G14" s="12" t="n">
        <v>3</v>
      </c>
      <c r="H14" s="12" t="inlineStr">
        <is>
          <t>P2</t>
        </is>
      </c>
      <c r="I14" s="12" t="inlineStr">
        <is>
          <t>P1</t>
        </is>
      </c>
      <c r="J14" s="13" t="inlineStr">
        <is>
          <t>Core API team; DPO; OH governance</t>
        </is>
      </c>
      <c r="K14" s="13" t="inlineStr">
        <is>
          <t>E09; E10</t>
        </is>
      </c>
      <c r="L14" s="16" t="n"/>
      <c r="M14" s="12" t="inlineStr">
        <is>
          <t>Not started</t>
        </is>
      </c>
      <c r="N14" s="15" t="n"/>
      <c r="O14" s="14" t="n"/>
    </row>
    <row r="15" ht="53.4" customHeight="1">
      <c r="A15" s="12" t="inlineStr">
        <is>
          <t>E15-BL-011</t>
        </is>
      </c>
      <c r="B15" s="12" t="inlineStr">
        <is>
          <t>E15-F05</t>
        </is>
      </c>
      <c r="C15" s="5">
        <f>IFERROR(INDEX('Feature List'!$B$5:$B$21,MATCH(B15,'Feature List'!$A$5:$A$21,0)),"")</f>
        <v/>
      </c>
      <c r="D15" s="12" t="inlineStr">
        <is>
          <t>Story</t>
        </is>
      </c>
      <c r="E15" s="13" t="inlineStr">
        <is>
          <t>As an MRO I want to open substance-programme documents (e.g. CHAIN_OF_CUSTODY_FORM) through the generic documents API so that I can complete reviews without workarounds, while I still cannot open psychological-health documents</t>
        </is>
      </c>
      <c r="F15" s="13" t="inlineStr">
        <is>
          <t>MRO and listed acting-MRO physicians open E10 documents; MRO gets 404 on E09 documents; general OH, manager, HR and unbound machine clients get 404; denials audited; access-matrix object cases added</t>
        </is>
      </c>
      <c r="G15" s="12" t="n">
        <v>10</v>
      </c>
      <c r="H15" s="12" t="inlineStr">
        <is>
          <t>P2</t>
        </is>
      </c>
      <c r="I15" s="12" t="inlineStr">
        <is>
          <t>P1</t>
        </is>
      </c>
      <c r="J15" s="13" t="inlineStr">
        <is>
          <t>Core API team (E10)</t>
        </is>
      </c>
      <c r="K15" s="13" t="inlineStr">
        <is>
          <t>E10; E15-F05 spike</t>
        </is>
      </c>
      <c r="L15" s="16" t="n"/>
      <c r="M15" s="12" t="inlineStr">
        <is>
          <t>Not started</t>
        </is>
      </c>
      <c r="N15" s="15" t="n"/>
      <c r="O15" s="14" t="n"/>
    </row>
    <row r="16" ht="40.8" customHeight="1">
      <c r="A16" s="12" t="inlineStr">
        <is>
          <t>E15-BL-012</t>
        </is>
      </c>
      <c r="B16" s="12" t="inlineStr">
        <is>
          <t>E15-F06</t>
        </is>
      </c>
      <c r="C16" s="5">
        <f>IFERROR(INDEX('Feature List'!$B$5:$B$21,MATCH(B16,'Feature List'!$A$5:$A$21,0)),"")</f>
        <v/>
      </c>
      <c r="D16" s="12" t="inlineStr">
        <is>
          <t>Story</t>
        </is>
      </c>
      <c r="E16" s="13" t="inlineStr">
        <is>
          <t>As the CISO I want the core API and the BFF to refuse to start outside the local profile when a demo identity or local-only secret is configured so that a demo setting can never reach UAT or PROD</t>
        </is>
      </c>
      <c r="F16" s="13" t="inlineStr">
        <is>
          <t>Rules: known local-only secret values (e.g. change-me-local-only), demo users in mentalhealth.named-clinicians; message names the property only; unit tests per rule; UAT/PROD overlays pass</t>
        </is>
      </c>
      <c r="G16" s="12" t="n">
        <v>6</v>
      </c>
      <c r="H16" s="12" t="inlineStr">
        <is>
          <t>P1</t>
        </is>
      </c>
      <c r="I16" s="12" t="inlineStr">
        <is>
          <t>P1</t>
        </is>
      </c>
      <c r="J16" s="13" t="inlineStr">
        <is>
          <t>Core API team</t>
        </is>
      </c>
      <c r="K16" s="13" t="inlineStr">
        <is>
          <t>SEC-E06</t>
        </is>
      </c>
      <c r="L16" s="16" t="n"/>
      <c r="M16" s="12" t="inlineStr">
        <is>
          <t>Not started</t>
        </is>
      </c>
      <c r="N16" s="15" t="n"/>
      <c r="O16" s="14" t="n"/>
    </row>
    <row r="17" ht="40.8" customHeight="1">
      <c r="A17" s="12" t="inlineStr">
        <is>
          <t>E15-BL-013</t>
        </is>
      </c>
      <c r="B17" s="12" t="inlineStr">
        <is>
          <t>E15-F06</t>
        </is>
      </c>
      <c r="C17" s="5">
        <f>IFERROR(INDEX('Feature List'!$B$5:$B$21,MATCH(B17,'Feature List'!$A$5:$A$21,0)),"")</f>
        <v/>
      </c>
      <c r="D17" s="12" t="inlineStr">
        <is>
          <t>Story</t>
        </is>
      </c>
      <c r="E17" s="13" t="inlineStr">
        <is>
          <t>As an OH administrator I want the configuration service to reject demo identities for restricted-class settings outside local, and the go-live checklist to require the real named clinicians</t>
        </is>
      </c>
      <c r="F17" s="13" t="inlineStr">
        <is>
          <t>Config change with a demo user returns 400 outside local; checklist item added; F-17 closed</t>
        </is>
      </c>
      <c r="G17" s="12" t="n">
        <v>2</v>
      </c>
      <c r="H17" s="12" t="inlineStr">
        <is>
          <t>P1</t>
        </is>
      </c>
      <c r="I17" s="12" t="inlineStr">
        <is>
          <t>P1</t>
        </is>
      </c>
      <c r="J17" s="13" t="inlineStr">
        <is>
          <t>Core API team; Product Owner (OH)</t>
        </is>
      </c>
      <c r="K17" s="13" t="inlineStr">
        <is>
          <t>E18; E09</t>
        </is>
      </c>
      <c r="L17" s="16" t="n"/>
      <c r="M17" s="12" t="inlineStr">
        <is>
          <t>Not started</t>
        </is>
      </c>
      <c r="N17" s="15" t="n"/>
      <c r="O17" s="14" t="n"/>
    </row>
    <row r="18" ht="40.8" customHeight="1">
      <c r="A18" s="12" t="inlineStr">
        <is>
          <t>E15-BL-014</t>
        </is>
      </c>
      <c r="B18" s="12" t="inlineStr">
        <is>
          <t>E15-F07</t>
        </is>
      </c>
      <c r="C18" s="5">
        <f>IFERROR(INDEX('Feature List'!$B$5:$B$21,MATCH(B18,'Feature List'!$A$5:$A$21,0)),"")</f>
        <v/>
      </c>
      <c r="D18" s="12" t="inlineStr">
        <is>
          <t>Spike</t>
        </is>
      </c>
      <c r="E18" s="13" t="inlineStr">
        <is>
          <t>Choose the mechanism for cluster-wide per-principal limits (shared store such as Redis vs edge-enforced limits) including fail-open behaviour</t>
        </is>
      </c>
      <c r="F18" s="13" t="inlineStr">
        <is>
          <t>Decision record with latency, availability and cost impact; behaviour when the store is unavailable reviewed by Platform Security</t>
        </is>
      </c>
      <c r="G18" s="12" t="n">
        <v>3</v>
      </c>
      <c r="H18" s="12" t="inlineStr">
        <is>
          <t>P3</t>
        </is>
      </c>
      <c r="I18" s="12" t="inlineStr">
        <is>
          <t>P3</t>
        </is>
      </c>
      <c r="J18" s="13" t="inlineStr">
        <is>
          <t>Core API team; Platform / DevOps</t>
        </is>
      </c>
      <c r="K18" s="13" t="inlineStr">
        <is>
          <t>SEC-E07</t>
        </is>
      </c>
      <c r="L18" s="16" t="n"/>
      <c r="M18" s="12" t="inlineStr">
        <is>
          <t>Not started</t>
        </is>
      </c>
      <c r="N18" s="15" t="n"/>
      <c r="O18" s="14" t="n"/>
    </row>
    <row r="19" ht="40.8" customHeight="1">
      <c r="A19" s="12" t="inlineStr">
        <is>
          <t>E15-BL-015</t>
        </is>
      </c>
      <c r="B19" s="12" t="inlineStr">
        <is>
          <t>E15-F07</t>
        </is>
      </c>
      <c r="C19" s="5">
        <f>IFERROR(INDEX('Feature List'!$B$5:$B$21,MATCH(B19,'Feature List'!$A$5:$A$21,0)),"")</f>
        <v/>
      </c>
      <c r="D19" s="12" t="inlineStr">
        <is>
          <t>Enabler</t>
        </is>
      </c>
      <c r="E19" s="13" t="inlineStr">
        <is>
          <t>Implement cluster-wide per-principal rate limiting independent of replica count</t>
        </is>
      </c>
      <c r="F19" s="13" t="inlineStr">
        <is>
          <t>Load test with 1 and N replicas shows the same effective limit; 429 + Retry-After unchanged; configuration per environment and client overlay</t>
        </is>
      </c>
      <c r="G19" s="12" t="n">
        <v>8</v>
      </c>
      <c r="H19" s="12" t="inlineStr">
        <is>
          <t>P3</t>
        </is>
      </c>
      <c r="I19" s="12" t="inlineStr">
        <is>
          <t>P3</t>
        </is>
      </c>
      <c r="J19" s="13" t="inlineStr">
        <is>
          <t>Core API team</t>
        </is>
      </c>
      <c r="K19" s="13" t="inlineStr">
        <is>
          <t>SEC-E07 spike</t>
        </is>
      </c>
      <c r="L19" s="16" t="n"/>
      <c r="M19" s="12" t="inlineStr">
        <is>
          <t>Not started</t>
        </is>
      </c>
      <c r="N19" s="15" t="n"/>
      <c r="O19" s="14" t="n"/>
    </row>
    <row r="20" ht="40.8" customHeight="1">
      <c r="A20" s="12" t="inlineStr">
        <is>
          <t>E15-BL-016</t>
        </is>
      </c>
      <c r="B20" s="12" t="inlineStr">
        <is>
          <t>E15-F07</t>
        </is>
      </c>
      <c r="C20" s="5">
        <f>IFERROR(INDEX('Feature List'!$B$5:$B$21,MATCH(B20,'Feature List'!$A$5:$A$21,0)),"")</f>
        <v/>
      </c>
      <c r="D20" s="12" t="inlineStr">
        <is>
          <t>Story</t>
        </is>
      </c>
      <c r="E20" s="13" t="inlineStr">
        <is>
          <t>As the platform owner I want exports, reports, audit packs and bulk operations to consume more of the rate budget so that a single user cannot exhaust expensive resources</t>
        </is>
      </c>
      <c r="F20" s="13" t="inlineStr">
        <is>
          <t>Cost classes defined and documented; expensive endpoints limited separately; tests per class</t>
        </is>
      </c>
      <c r="G20" s="12" t="n">
        <v>5</v>
      </c>
      <c r="H20" s="12" t="inlineStr">
        <is>
          <t>P3</t>
        </is>
      </c>
      <c r="I20" s="12" t="inlineStr">
        <is>
          <t>P3</t>
        </is>
      </c>
      <c r="J20" s="13" t="inlineStr">
        <is>
          <t>Core API team</t>
        </is>
      </c>
      <c r="K20" s="13" t="inlineStr">
        <is>
          <t>SEC-E07</t>
        </is>
      </c>
      <c r="L20" s="16" t="n"/>
      <c r="M20" s="12" t="inlineStr">
        <is>
          <t>Not started</t>
        </is>
      </c>
      <c r="N20" s="15" t="n"/>
      <c r="O20" s="14" t="n"/>
    </row>
    <row r="21" ht="40.8" customHeight="1">
      <c r="A21" s="12" t="inlineStr">
        <is>
          <t>E15-BL-017</t>
        </is>
      </c>
      <c r="B21" s="12" t="inlineStr">
        <is>
          <t>E15-F08</t>
        </is>
      </c>
      <c r="C21" s="5">
        <f>IFERROR(INDEX('Feature List'!$B$5:$B$21,MATCH(B21,'Feature List'!$A$5:$A$21,0)),"")</f>
        <v/>
      </c>
      <c r="D21" s="12" t="inlineStr">
        <is>
          <t>Enabler</t>
        </is>
      </c>
      <c r="E21" s="13" t="inlineStr">
        <is>
          <t>Enable container runtime threat detection: Defender for Containers (Azure), GKE Security Posture and threat detection (Google Cloud), Falco or equivalent on hybrid clusters</t>
        </is>
      </c>
      <c r="F21" s="13" t="inlineStr">
        <is>
          <t>Enabled in UAT/PROD; alerts routed to the SIEM; noise tuned in UAT</t>
        </is>
      </c>
      <c r="G21" s="12" t="n">
        <v>5</v>
      </c>
      <c r="H21" s="12" t="inlineStr">
        <is>
          <t>P2</t>
        </is>
      </c>
      <c r="I21" s="12" t="inlineStr">
        <is>
          <t>P1</t>
        </is>
      </c>
      <c r="J21" s="13" t="inlineStr">
        <is>
          <t>Platform / DevOps; SOC</t>
        </is>
      </c>
      <c r="K21" s="13" t="inlineStr">
        <is>
          <t>SEC-E08</t>
        </is>
      </c>
      <c r="L21" s="16" t="n"/>
      <c r="M21" s="12" t="inlineStr">
        <is>
          <t>Not started</t>
        </is>
      </c>
      <c r="N21" s="15" t="n"/>
      <c r="O21" s="14" t="n"/>
    </row>
    <row r="22" ht="28.2" customHeight="1">
      <c r="A22" s="12" t="inlineStr">
        <is>
          <t>E15-BL-018</t>
        </is>
      </c>
      <c r="B22" s="12" t="inlineStr">
        <is>
          <t>E15-F08</t>
        </is>
      </c>
      <c r="C22" s="5">
        <f>IFERROR(INDEX('Feature List'!$B$5:$B$21,MATCH(B22,'Feature List'!$A$5:$A$21,0)),"")</f>
        <v/>
      </c>
      <c r="D22" s="12" t="inlineStr">
        <is>
          <t>Enabler</t>
        </is>
      </c>
      <c r="E22" s="13" t="inlineStr">
        <is>
          <t>Stream the audit trail (platform.audit_event), application logs, ingress/WAF logs and cloud audit logs to the SIEM</t>
        </is>
      </c>
      <c r="F22" s="13" t="inlineStr">
        <is>
          <t>Ingestion verified end to end; no PHI in the streamed fields (sample review by the DPO); retention per policy</t>
        </is>
      </c>
      <c r="G22" s="12" t="n">
        <v>8</v>
      </c>
      <c r="H22" s="12" t="inlineStr">
        <is>
          <t>P2</t>
        </is>
      </c>
      <c r="I22" s="12" t="inlineStr">
        <is>
          <t>P1</t>
        </is>
      </c>
      <c r="J22" s="13" t="inlineStr">
        <is>
          <t>Platform / DevOps; SOC</t>
        </is>
      </c>
      <c r="K22" s="13" t="inlineStr">
        <is>
          <t>SEC-E08</t>
        </is>
      </c>
      <c r="L22" s="16" t="n"/>
      <c r="M22" s="12" t="inlineStr">
        <is>
          <t>Not started</t>
        </is>
      </c>
      <c r="N22" s="15" t="n"/>
      <c r="O22" s="14" t="n"/>
    </row>
    <row r="23" ht="53.4" customHeight="1">
      <c r="A23" s="12" t="inlineStr">
        <is>
          <t>E15-BL-019</t>
        </is>
      </c>
      <c r="B23" s="12" t="inlineStr">
        <is>
          <t>E15-F08</t>
        </is>
      </c>
      <c r="C23" s="5">
        <f>IFERROR(INDEX('Feature List'!$B$5:$B$21,MATCH(B23,'Feature List'!$A$5:$A$21,0)),"")</f>
        <v/>
      </c>
      <c r="D23" s="12" t="inlineStr">
        <is>
          <t>Story</t>
        </is>
      </c>
      <c r="E23" s="13" t="inlineStr">
        <is>
          <t>As a SOC analyst I want detections D-01…D-12 (break-glass, mass export, enumeration, authentication attacks, rate-limit storms, configuration tampering, replay, audit-chain failure, admission denial, secret access, runtime alert, external user without MFA) with runbooks</t>
        </is>
      </c>
      <c r="F23" s="13" t="inlineStr">
        <is>
          <t>Each detection tested with a synthetic event; runbook linked; thresholds reviewed after 30 days; ≥ 95 % high alerts triaged within 1 hour</t>
        </is>
      </c>
      <c r="G23" s="12" t="n">
        <v>10</v>
      </c>
      <c r="H23" s="12" t="inlineStr">
        <is>
          <t>P2</t>
        </is>
      </c>
      <c r="I23" s="12" t="inlineStr">
        <is>
          <t>P1</t>
        </is>
      </c>
      <c r="J23" s="13" t="inlineStr">
        <is>
          <t>SOC; Platform Security</t>
        </is>
      </c>
      <c r="K23" s="13" t="inlineStr">
        <is>
          <t>SEC-E08</t>
        </is>
      </c>
      <c r="L23" s="16" t="n"/>
      <c r="M23" s="12" t="inlineStr">
        <is>
          <t>Not started</t>
        </is>
      </c>
      <c r="N23" s="15" t="n"/>
      <c r="O23" s="14" t="n"/>
    </row>
    <row r="24" ht="40.8" customHeight="1">
      <c r="A24" s="12" t="inlineStr">
        <is>
          <t>E15-BL-020</t>
        </is>
      </c>
      <c r="B24" s="12" t="inlineStr">
        <is>
          <t>E15-F08</t>
        </is>
      </c>
      <c r="C24" s="5">
        <f>IFERROR(INDEX('Feature List'!$B$5:$B$21,MATCH(B24,'Feature List'!$A$5:$A$21,0)),"")</f>
        <v/>
      </c>
      <c r="D24" s="12" t="inlineStr">
        <is>
          <t>Story</t>
        </is>
      </c>
      <c r="E24" s="13" t="inlineStr">
        <is>
          <t>As a SOC analyst I want a PHI-free counter and log event for every 429 answered by ApiRateLimitFilter so that rate-limit storms are visible</t>
        </is>
      </c>
      <c r="F24" s="13" t="inlineStr">
        <is>
          <t>Metric with principal type (human / integration) but no request content; unit test; dashboard panel</t>
        </is>
      </c>
      <c r="G24" s="12" t="n">
        <v>3</v>
      </c>
      <c r="H24" s="12" t="inlineStr">
        <is>
          <t>P2</t>
        </is>
      </c>
      <c r="I24" s="12" t="inlineStr">
        <is>
          <t>P2</t>
        </is>
      </c>
      <c r="J24" s="13" t="inlineStr">
        <is>
          <t>Core API team</t>
        </is>
      </c>
      <c r="K24" s="13" t="inlineStr">
        <is>
          <t>SEC-E08</t>
        </is>
      </c>
      <c r="L24" s="16" t="n"/>
      <c r="M24" s="12" t="inlineStr">
        <is>
          <t>Not started</t>
        </is>
      </c>
      <c r="N24" s="15" t="n"/>
      <c r="O24" s="14" t="n"/>
    </row>
    <row r="25" ht="40.8" customHeight="1">
      <c r="A25" s="12" t="inlineStr">
        <is>
          <t>E15-BL-021</t>
        </is>
      </c>
      <c r="B25" s="12" t="inlineStr">
        <is>
          <t>E15-F09</t>
        </is>
      </c>
      <c r="C25" s="5">
        <f>IFERROR(INDEX('Feature List'!$B$5:$B$21,MATCH(B25,'Feature List'!$A$5:$A$21,0)),"")</f>
        <v/>
      </c>
      <c r="D25" s="12" t="inlineStr">
        <is>
          <t>Task</t>
        </is>
      </c>
      <c r="E25" s="13" t="inlineStr">
        <is>
          <t>Architecture decision record on customer-managed keys for Azure PostgreSQL and other PROD data stores (incl. evaluation of the Cloud SQL Java connector with IAM authentication and client certificates)</t>
        </is>
      </c>
      <c r="F25" s="13" t="inlineStr">
        <is>
          <t>ADR signed by CISO and DPO before the PROD PostgreSQL server is created</t>
        </is>
      </c>
      <c r="G25" s="12" t="n">
        <v>2</v>
      </c>
      <c r="H25" s="12" t="inlineStr">
        <is>
          <t>P1</t>
        </is>
      </c>
      <c r="I25" s="12" t="inlineStr">
        <is>
          <t>P1</t>
        </is>
      </c>
      <c r="J25" s="13" t="inlineStr">
        <is>
          <t>Platform Security; DBA; DPO</t>
        </is>
      </c>
      <c r="K25" s="13" t="inlineStr">
        <is>
          <t>SEC-E09</t>
        </is>
      </c>
      <c r="L25" s="16" t="n"/>
      <c r="M25" s="12" t="inlineStr">
        <is>
          <t>Not started</t>
        </is>
      </c>
      <c r="N25" s="15" t="n"/>
      <c r="O25" s="14" t="n"/>
    </row>
    <row r="26" ht="28.2" customHeight="1">
      <c r="A26" s="12" t="inlineStr">
        <is>
          <t>E15-BL-022</t>
        </is>
      </c>
      <c r="B26" s="12" t="inlineStr">
        <is>
          <t>E15-F09</t>
        </is>
      </c>
      <c r="C26" s="5">
        <f>IFERROR(INDEX('Feature List'!$B$5:$B$21,MATCH(B26,'Feature List'!$A$5:$A$21,0)),"")</f>
        <v/>
      </c>
      <c r="D26" s="12" t="inlineStr">
        <is>
          <t>Enabler</t>
        </is>
      </c>
      <c r="E26" s="13" t="inlineStr">
        <is>
          <t>Enable postgres_cmk_enabled with geo-backup key and identity in UAT and PROD (Key Vault Premium, RSA-HSM)</t>
        </is>
      </c>
      <c r="F26" s="13" t="inlineStr">
        <is>
          <t>Server created with CMK; geo-backup key in the paired region; Key Vault access logged; Checkov and terraform validate green</t>
        </is>
      </c>
      <c r="G26" s="12" t="n">
        <v>5</v>
      </c>
      <c r="H26" s="12" t="inlineStr">
        <is>
          <t>P1</t>
        </is>
      </c>
      <c r="I26" s="12" t="inlineStr">
        <is>
          <t>P1</t>
        </is>
      </c>
      <c r="J26" s="13" t="inlineStr">
        <is>
          <t>Platform / DevOps; DBA</t>
        </is>
      </c>
      <c r="K26" s="13" t="inlineStr">
        <is>
          <t>SEC-E09 ADR</t>
        </is>
      </c>
      <c r="L26" s="16" t="n"/>
      <c r="M26" s="12" t="inlineStr">
        <is>
          <t>Not started</t>
        </is>
      </c>
      <c r="N26" s="15" t="n"/>
      <c r="O26" s="14" t="n"/>
    </row>
    <row r="27" ht="40.8" customHeight="1">
      <c r="A27" s="12" t="inlineStr">
        <is>
          <t>E15-BL-023</t>
        </is>
      </c>
      <c r="B27" s="12" t="inlineStr">
        <is>
          <t>E15-F09</t>
        </is>
      </c>
      <c r="C27" s="5">
        <f>IFERROR(INDEX('Feature List'!$B$5:$B$21,MATCH(B27,'Feature List'!$A$5:$A$21,0)),"")</f>
        <v/>
      </c>
      <c r="D27" s="12" t="inlineStr">
        <is>
          <t>Enabler</t>
        </is>
      </c>
      <c r="E27" s="13" t="inlineStr">
        <is>
          <t>Envelope encryption for the field-encryption master key (KMS-wrapped data keys) and a re-encryption job for key rotation</t>
        </is>
      </c>
      <c r="F27" s="13" t="inlineStr">
        <is>
          <t>Master key never stored unwrapped at rest; rotation re-encrypts rows by key version; integration test proves old and new versions readable; RR1 closed</t>
        </is>
      </c>
      <c r="G27" s="12" t="n">
        <v>8</v>
      </c>
      <c r="H27" s="12" t="inlineStr">
        <is>
          <t>P2</t>
        </is>
      </c>
      <c r="I27" s="12" t="inlineStr">
        <is>
          <t>P2</t>
        </is>
      </c>
      <c r="J27" s="13" t="inlineStr">
        <is>
          <t>Core API team; Platform Security</t>
        </is>
      </c>
      <c r="K27" s="13" t="inlineStr">
        <is>
          <t>SEC-E09</t>
        </is>
      </c>
      <c r="L27" s="16" t="n"/>
      <c r="M27" s="12" t="inlineStr">
        <is>
          <t>Not started</t>
        </is>
      </c>
      <c r="N27" s="15" t="n"/>
      <c r="O27" s="14" t="n"/>
    </row>
    <row r="28" ht="28.2" customHeight="1">
      <c r="A28" s="12" t="inlineStr">
        <is>
          <t>E15-BL-024</t>
        </is>
      </c>
      <c r="B28" s="12" t="inlineStr">
        <is>
          <t>E15-F09</t>
        </is>
      </c>
      <c r="C28" s="5">
        <f>IFERROR(INDEX('Feature List'!$B$5:$B$21,MATCH(B28,'Feature List'!$A$5:$A$21,0)),"")</f>
        <v/>
      </c>
      <c r="D28" s="12" t="inlineStr">
        <is>
          <t>Task</t>
        </is>
      </c>
      <c r="E28" s="13" t="inlineStr">
        <is>
          <t>Key rotation and key-loss runbook, rehearsed in UAT including restore from backup</t>
        </is>
      </c>
      <c r="F28" s="13" t="inlineStr">
        <is>
          <t>Runbook approved; rehearsal evidence; recovery time recorded</t>
        </is>
      </c>
      <c r="G28" s="12" t="n">
        <v>3</v>
      </c>
      <c r="H28" s="12" t="inlineStr">
        <is>
          <t>P1</t>
        </is>
      </c>
      <c r="I28" s="12" t="inlineStr">
        <is>
          <t>P2</t>
        </is>
      </c>
      <c r="J28" s="13" t="inlineStr">
        <is>
          <t>DBA; Platform Security</t>
        </is>
      </c>
      <c r="K28" s="13" t="inlineStr">
        <is>
          <t>SEC-E09</t>
        </is>
      </c>
      <c r="L28" s="16" t="n"/>
      <c r="M28" s="12" t="inlineStr">
        <is>
          <t>Not started</t>
        </is>
      </c>
      <c r="N28" s="15" t="n"/>
      <c r="O28" s="14" t="n"/>
    </row>
    <row r="29" ht="28.2" customHeight="1">
      <c r="A29" s="12" t="inlineStr">
        <is>
          <t>E15-BL-025</t>
        </is>
      </c>
      <c r="B29" s="12" t="inlineStr">
        <is>
          <t>E15-F10</t>
        </is>
      </c>
      <c r="C29" s="5">
        <f>IFERROR(INDEX('Feature List'!$B$5:$B$21,MATCH(B29,'Feature List'!$A$5:$A$21,0)),"")</f>
        <v/>
      </c>
      <c r="D29" s="12" t="inlineStr">
        <is>
          <t>Task</t>
        </is>
      </c>
      <c r="E29" s="13" t="inlineStr">
        <is>
          <t>Data-residency assessment for TLS termination at a global edge (Front Door) for the client's jurisdictions</t>
        </is>
      </c>
      <c r="F29" s="13" t="inlineStr">
        <is>
          <t>DPO decision recorded; fallback design if not approved</t>
        </is>
      </c>
      <c r="G29" s="12" t="n">
        <v>2</v>
      </c>
      <c r="H29" s="12" t="inlineStr">
        <is>
          <t>P2</t>
        </is>
      </c>
      <c r="I29" s="12" t="inlineStr">
        <is>
          <t>P2</t>
        </is>
      </c>
      <c r="J29" s="13" t="inlineStr">
        <is>
          <t>DPO; Platform / Network</t>
        </is>
      </c>
      <c r="K29" s="13" t="inlineStr">
        <is>
          <t>SEC-E10</t>
        </is>
      </c>
      <c r="L29" s="16" t="n"/>
      <c r="M29" s="12" t="inlineStr">
        <is>
          <t>Not started</t>
        </is>
      </c>
      <c r="N29" s="15" t="n"/>
      <c r="O29" s="14" t="n"/>
    </row>
    <row r="30" ht="40.8" customHeight="1">
      <c r="A30" s="12" t="inlineStr">
        <is>
          <t>E15-BL-026</t>
        </is>
      </c>
      <c r="B30" s="12" t="inlineStr">
        <is>
          <t>E15-F10</t>
        </is>
      </c>
      <c r="C30" s="5">
        <f>IFERROR(INDEX('Feature List'!$B$5:$B$21,MATCH(B30,'Feature List'!$A$5:$A$21,0)),"")</f>
        <v/>
      </c>
      <c r="D30" s="12" t="inlineStr">
        <is>
          <t>Enabler</t>
        </is>
      </c>
      <c r="E30" s="13" t="inlineStr">
        <is>
          <t>Enable edge protection in PROD: Front Door Premium WAF with bot manager rule set (or App Gateway rate rules), Azure DDoS Network/IP Protection, Cloud Armor Adaptive Protection</t>
        </is>
      </c>
      <c r="F30" s="13" t="inlineStr">
        <is>
          <t>Origin locked to AzureFrontDoor.Backend where used; DDoS protection attached to public IPs; WAF logs in the SIEM</t>
        </is>
      </c>
      <c r="G30" s="12" t="n">
        <v>8</v>
      </c>
      <c r="H30" s="12" t="inlineStr">
        <is>
          <t>P2</t>
        </is>
      </c>
      <c r="I30" s="12" t="inlineStr">
        <is>
          <t>P2</t>
        </is>
      </c>
      <c r="J30" s="13" t="inlineStr">
        <is>
          <t>Platform / Network</t>
        </is>
      </c>
      <c r="K30" s="13" t="inlineStr">
        <is>
          <t>SEC-E10; SEC-E08</t>
        </is>
      </c>
      <c r="L30" s="16" t="n"/>
      <c r="M30" s="12" t="inlineStr">
        <is>
          <t>Not started</t>
        </is>
      </c>
      <c r="N30" s="15" t="n"/>
      <c r="O30" s="14" t="n"/>
    </row>
    <row r="31" ht="28.2" customHeight="1">
      <c r="A31" s="12" t="inlineStr">
        <is>
          <t>E15-BL-027</t>
        </is>
      </c>
      <c r="B31" s="12" t="inlineStr">
        <is>
          <t>E15-F10</t>
        </is>
      </c>
      <c r="C31" s="5">
        <f>IFERROR(INDEX('Feature List'!$B$5:$B$21,MATCH(B31,'Feature List'!$A$5:$A$21,0)),"")</f>
        <v/>
      </c>
      <c r="D31" s="12" t="inlineStr">
        <is>
          <t>Task</t>
        </is>
      </c>
      <c r="E31" s="13" t="inlineStr">
        <is>
          <t>Load test the edge rules with realistic shift-change peaks and partner batch traffic</t>
        </is>
      </c>
      <c r="F31" s="13" t="inlineStr">
        <is>
          <t>No false blocking at 2× expected peak; tuning documented</t>
        </is>
      </c>
      <c r="G31" s="12" t="n">
        <v>3</v>
      </c>
      <c r="H31" s="12" t="inlineStr">
        <is>
          <t>P2</t>
        </is>
      </c>
      <c r="I31" s="12" t="inlineStr">
        <is>
          <t>P3</t>
        </is>
      </c>
      <c r="J31" s="13" t="inlineStr">
        <is>
          <t>QA; Platform / Network</t>
        </is>
      </c>
      <c r="K31" s="13" t="inlineStr">
        <is>
          <t>SEC-E10</t>
        </is>
      </c>
      <c r="L31" s="16" t="n"/>
      <c r="M31" s="12" t="inlineStr">
        <is>
          <t>Not started</t>
        </is>
      </c>
      <c r="N31" s="15" t="n"/>
      <c r="O31" s="14" t="n"/>
    </row>
    <row r="32" ht="40.8" customHeight="1">
      <c r="A32" s="12" t="inlineStr">
        <is>
          <t>E15-BL-028</t>
        </is>
      </c>
      <c r="B32" s="12" t="inlineStr">
        <is>
          <t>E15-F11</t>
        </is>
      </c>
      <c r="C32" s="5">
        <f>IFERROR(INDEX('Feature List'!$B$5:$B$21,MATCH(B32,'Feature List'!$A$5:$A$21,0)),"")</f>
        <v/>
      </c>
      <c r="D32" s="12" t="inlineStr">
        <is>
          <t>Story</t>
        </is>
      </c>
      <c r="E32" s="13" t="inlineStr">
        <is>
          <t>As an employee using the app I want my session stored securely and protected by my organisation's app policies so that a lost phone does not expose health data</t>
        </is>
      </c>
      <c r="F32" s="13" t="inlineStr">
        <is>
          <t>Refresh token in Keychain/Keystore; MAM / app-protection policies applied; remote wipe of app data tested; RR7 closed</t>
        </is>
      </c>
      <c r="G32" s="12" t="n">
        <v>8</v>
      </c>
      <c r="H32" s="12" t="inlineStr">
        <is>
          <t>P3</t>
        </is>
      </c>
      <c r="I32" s="12" t="inlineStr">
        <is>
          <t>P2</t>
        </is>
      </c>
      <c r="J32" s="13" t="inlineStr">
        <is>
          <t>Mobile team; Endpoint team</t>
        </is>
      </c>
      <c r="K32" s="13" t="inlineStr">
        <is>
          <t>E13</t>
        </is>
      </c>
      <c r="L32" s="16" t="n"/>
      <c r="M32" s="12" t="inlineStr">
        <is>
          <t>Not started</t>
        </is>
      </c>
      <c r="N32" s="15" t="n"/>
      <c r="O32" s="14" t="n"/>
    </row>
    <row r="33" ht="40.8" customHeight="1">
      <c r="A33" s="12" t="inlineStr">
        <is>
          <t>E15-BL-029</t>
        </is>
      </c>
      <c r="B33" s="12" t="inlineStr">
        <is>
          <t>E15-F11</t>
        </is>
      </c>
      <c r="C33" s="5">
        <f>IFERROR(INDEX('Feature List'!$B$5:$B$21,MATCH(B33,'Feature List'!$A$5:$A$21,0)),"")</f>
        <v/>
      </c>
      <c r="D33" s="12" t="inlineStr">
        <is>
          <t>Story</t>
        </is>
      </c>
      <c r="E33" s="13" t="inlineStr">
        <is>
          <t>As the CISO I want certificate pinning and compromised-device detection in the employee app so that intercepted or tampered devices cannot read health data</t>
        </is>
      </c>
      <c r="F33" s="13" t="inlineStr">
        <is>
          <t>Public-key pinning with backup pin and rotation runbook; root/jailbreak and debugger detection with an agreed block/warn policy; tests on real devices</t>
        </is>
      </c>
      <c r="G33" s="12" t="n">
        <v>10</v>
      </c>
      <c r="H33" s="12" t="inlineStr">
        <is>
          <t>P3</t>
        </is>
      </c>
      <c r="I33" s="12" t="inlineStr">
        <is>
          <t>P2</t>
        </is>
      </c>
      <c r="J33" s="13" t="inlineStr">
        <is>
          <t>Mobile team</t>
        </is>
      </c>
      <c r="K33" s="13" t="inlineStr">
        <is>
          <t>E13</t>
        </is>
      </c>
      <c r="L33" s="16" t="n"/>
      <c r="M33" s="12" t="inlineStr">
        <is>
          <t>Not started</t>
        </is>
      </c>
      <c r="N33" s="15" t="n"/>
      <c r="O33" s="14" t="n"/>
    </row>
    <row r="34" ht="28.2" customHeight="1">
      <c r="A34" s="12" t="inlineStr">
        <is>
          <t>E15-BL-030</t>
        </is>
      </c>
      <c r="B34" s="12" t="inlineStr">
        <is>
          <t>E15-F11</t>
        </is>
      </c>
      <c r="C34" s="5">
        <f>IFERROR(INDEX('Feature List'!$B$5:$B$21,MATCH(B34,'Feature List'!$A$5:$A$21,0)),"")</f>
        <v/>
      </c>
      <c r="D34" s="12" t="inlineStr">
        <is>
          <t>Task</t>
        </is>
      </c>
      <c r="E34" s="13" t="inlineStr">
        <is>
          <t>Independent MASVS assessment (MAS testing profile L2 + R) of the store build and remediation</t>
        </is>
      </c>
      <c r="F34" s="13" t="inlineStr">
        <is>
          <t>No High finding open before store release; report in the release record</t>
        </is>
      </c>
      <c r="G34" s="12" t="n">
        <v>8</v>
      </c>
      <c r="H34" s="12" t="inlineStr">
        <is>
          <t>P3</t>
        </is>
      </c>
      <c r="I34" s="12" t="inlineStr">
        <is>
          <t>P2</t>
        </is>
      </c>
      <c r="J34" s="13" t="inlineStr">
        <is>
          <t>Mobile team; Platform Security</t>
        </is>
      </c>
      <c r="K34" s="13" t="inlineStr">
        <is>
          <t>SEC-E01</t>
        </is>
      </c>
      <c r="L34" s="16" t="n"/>
      <c r="M34" s="12" t="inlineStr">
        <is>
          <t>Not started</t>
        </is>
      </c>
      <c r="N34" s="15" t="n"/>
      <c r="O34" s="14" t="n"/>
    </row>
    <row r="35" ht="40.8" customHeight="1">
      <c r="A35" s="12" t="inlineStr">
        <is>
          <t>E15-BL-031</t>
        </is>
      </c>
      <c r="B35" s="12" t="inlineStr">
        <is>
          <t>E15-F12</t>
        </is>
      </c>
      <c r="C35" s="5">
        <f>IFERROR(INDEX('Feature List'!$B$5:$B$21,MATCH(B35,'Feature List'!$A$5:$A$21,0)),"")</f>
        <v/>
      </c>
      <c r="D35" s="12" t="inlineStr">
        <is>
          <t>Enabler</t>
        </is>
      </c>
      <c r="E35" s="13" t="inlineStr">
        <is>
          <t>Unit tests and a reviewed baseline for the policy extractor tools/security/rbac-extract-policy.py (expected access policy from @PreAuthorize, URL rules and BFF workspace gating)</t>
        </is>
      </c>
      <c r="F35" s="13" t="inlineStr">
        <is>
          <t>Extractor output matches the reviewed baseline (assessment: 762 endpoint entries from 89 controllers); unit tests for SpEL constant resolution and URL rules</t>
        </is>
      </c>
      <c r="G35" s="12" t="n">
        <v>5</v>
      </c>
      <c r="H35" s="12" t="inlineStr">
        <is>
          <t>P2</t>
        </is>
      </c>
      <c r="I35" s="12" t="inlineStr">
        <is>
          <t>P1</t>
        </is>
      </c>
      <c r="J35" s="13" t="inlineStr">
        <is>
          <t>Platform / DevOps; QA</t>
        </is>
      </c>
      <c r="K35" s="13" t="inlineStr">
        <is>
          <t>SEC-E12</t>
        </is>
      </c>
      <c r="L35" s="16" t="n"/>
      <c r="M35" s="12" t="inlineStr">
        <is>
          <t>Not started</t>
        </is>
      </c>
      <c r="N35" s="15" t="n"/>
      <c r="O35" s="14" t="n"/>
    </row>
    <row r="36" ht="40.8" customHeight="1">
      <c r="A36" s="12" t="inlineStr">
        <is>
          <t>E15-BL-032</t>
        </is>
      </c>
      <c r="B36" s="12" t="inlineStr">
        <is>
          <t>E15-F12</t>
        </is>
      </c>
      <c r="C36" s="5">
        <f>IFERROR(INDEX('Feature List'!$B$5:$B$21,MATCH(B36,'Feature List'!$A$5:$A$21,0)),"")</f>
        <v/>
      </c>
      <c r="D36" s="12" t="inlineStr">
        <is>
          <t>Enabler</t>
        </is>
      </c>
      <c r="E36" s="13" t="inlineStr">
        <is>
          <t>CI workflow: start an ephemeral stack (Docker Compose, generated secrets), run security-verification.js and rbac-matrix.js nightly and on release branches, publish results</t>
        </is>
      </c>
      <c r="F36" s="13" t="inlineStr">
        <is>
          <t>Gate fails on any FAIL, unexpected allow or endpoint without expected policy; SHA-pinned actions; permissions contents: read; never targets UAT/PROD</t>
        </is>
      </c>
      <c r="G36" s="12" t="n">
        <v>13</v>
      </c>
      <c r="H36" s="12" t="inlineStr">
        <is>
          <t>P2</t>
        </is>
      </c>
      <c r="I36" s="12" t="inlineStr">
        <is>
          <t>P1</t>
        </is>
      </c>
      <c r="J36" s="13" t="inlineStr">
        <is>
          <t>Platform / DevOps</t>
        </is>
      </c>
      <c r="K36" s="13" t="inlineStr">
        <is>
          <t>SEC-E12; SEC-E01</t>
        </is>
      </c>
      <c r="L36" s="16" t="n"/>
      <c r="M36" s="12" t="inlineStr">
        <is>
          <t>Not started</t>
        </is>
      </c>
      <c r="N36" s="15" t="n"/>
      <c r="O36" s="14" t="n"/>
    </row>
    <row r="37" ht="40.8" customHeight="1">
      <c r="A37" s="12" t="inlineStr">
        <is>
          <t>E15-BL-033</t>
        </is>
      </c>
      <c r="B37" s="12" t="inlineStr">
        <is>
          <t>E15-F12</t>
        </is>
      </c>
      <c r="C37" s="5">
        <f>IFERROR(INDEX('Feature List'!$B$5:$B$21,MATCH(B37,'Feature List'!$A$5:$A$21,0)),"")</f>
        <v/>
      </c>
      <c r="D37" s="12" t="inlineStr">
        <is>
          <t>Task</t>
        </is>
      </c>
      <c r="E37" s="13" t="inlineStr">
        <is>
          <t>Add object-level access cases for every business module (cases, documents, restricted records, partner referrals) to the access matrix</t>
        </is>
      </c>
      <c r="F37" s="13" t="inlineStr">
        <is>
          <t>Every module with record-level data has at least one cross-user and one cross-scope case; results reviewed by the security champions</t>
        </is>
      </c>
      <c r="G37" s="12" t="n">
        <v>3</v>
      </c>
      <c r="H37" s="12" t="inlineStr">
        <is>
          <t>P2</t>
        </is>
      </c>
      <c r="I37" s="12" t="inlineStr">
        <is>
          <t>P2</t>
        </is>
      </c>
      <c r="J37" s="13" t="inlineStr">
        <is>
          <t>QA; Security champions</t>
        </is>
      </c>
      <c r="K37" s="13" t="inlineStr">
        <is>
          <t>SEC-E12</t>
        </is>
      </c>
      <c r="L37" s="16" t="n"/>
      <c r="M37" s="12" t="inlineStr">
        <is>
          <t>Not started</t>
        </is>
      </c>
      <c r="N37" s="15" t="n"/>
      <c r="O37" s="14" t="n"/>
    </row>
    <row r="38" ht="28.2" customHeight="1">
      <c r="A38" s="12" t="inlineStr">
        <is>
          <t>E15-BL-034</t>
        </is>
      </c>
      <c r="B38" s="12" t="inlineStr">
        <is>
          <t>E15-F13</t>
        </is>
      </c>
      <c r="C38" s="5">
        <f>IFERROR(INDEX('Feature List'!$B$5:$B$21,MATCH(B38,'Feature List'!$A$5:$A$21,0)),"")</f>
        <v/>
      </c>
      <c r="D38" s="12" t="inlineStr">
        <is>
          <t>Task</t>
        </is>
      </c>
      <c r="E38" s="13" t="inlineStr">
        <is>
          <t>Approve and publish the patch SLA policy (critical 48 h, high 7 d, medium 30 d, low 90 d) and update doc 02 Section 10</t>
        </is>
      </c>
      <c r="F38" s="13" t="inlineStr">
        <is>
          <t>Policy signed by the CISO; exceptions process documented; engineering leads briefed</t>
        </is>
      </c>
      <c r="G38" s="12" t="n">
        <v>2</v>
      </c>
      <c r="H38" s="12" t="inlineStr">
        <is>
          <t>P1</t>
        </is>
      </c>
      <c r="I38" s="12" t="inlineStr">
        <is>
          <t>P1</t>
        </is>
      </c>
      <c r="J38" s="13" t="inlineStr">
        <is>
          <t>Platform Security</t>
        </is>
      </c>
      <c r="K38" s="13" t="inlineStr">
        <is>
          <t>SEC-E13</t>
        </is>
      </c>
      <c r="L38" s="16" t="n"/>
      <c r="M38" s="12" t="inlineStr">
        <is>
          <t>Not started</t>
        </is>
      </c>
      <c r="N38" s="15" t="n"/>
      <c r="O38" s="14" t="n"/>
    </row>
    <row r="39" ht="40.8" customHeight="1">
      <c r="A39" s="12" t="inlineStr">
        <is>
          <t>E15-BL-035</t>
        </is>
      </c>
      <c r="B39" s="12" t="inlineStr">
        <is>
          <t>E15-F13</t>
        </is>
      </c>
      <c r="C39" s="5">
        <f>IFERROR(INDEX('Feature List'!$B$5:$B$21,MATCH(B39,'Feature List'!$A$5:$A$21,0)),"")</f>
        <v/>
      </c>
      <c r="D39" s="12" t="inlineStr">
        <is>
          <t>Enabler</t>
        </is>
      </c>
      <c r="E39" s="13" t="inlineStr">
        <is>
          <t>Monthly vulnerability report, daily re-scan of deployed digests against new advisories, and a CI check that fails on expired suppression entries</t>
        </is>
      </c>
      <c r="F39" s="13" t="inlineStr">
        <is>
          <t>Report delivered for the first month after go-live; re-scan alerts into the vulnerability queue; expired entries in the three suppression files fail CI</t>
        </is>
      </c>
      <c r="G39" s="12" t="n">
        <v>4</v>
      </c>
      <c r="H39" s="12" t="inlineStr">
        <is>
          <t>P1</t>
        </is>
      </c>
      <c r="I39" s="12" t="inlineStr">
        <is>
          <t>P1</t>
        </is>
      </c>
      <c r="J39" s="13" t="inlineStr">
        <is>
          <t>Platform / DevOps; Platform Security</t>
        </is>
      </c>
      <c r="K39" s="13" t="inlineStr">
        <is>
          <t>SEC-E13; SEC-E02</t>
        </is>
      </c>
      <c r="L39" s="16" t="n"/>
      <c r="M39" s="12" t="inlineStr">
        <is>
          <t>Not started</t>
        </is>
      </c>
      <c r="N39" s="15" t="n"/>
      <c r="O39" s="14" t="n"/>
    </row>
    <row r="40" ht="28.2" customHeight="1">
      <c r="A40" s="12" t="inlineStr">
        <is>
          <t>E15-BL-036</t>
        </is>
      </c>
      <c r="B40" s="12" t="inlineStr">
        <is>
          <t>E15-F13</t>
        </is>
      </c>
      <c r="C40" s="5">
        <f>IFERROR(INDEX('Feature List'!$B$5:$B$21,MATCH(B40,'Feature List'!$A$5:$A$21,0)),"")</f>
        <v/>
      </c>
      <c r="D40" s="12" t="inlineStr">
        <is>
          <t>Task</t>
        </is>
      </c>
      <c r="E40" s="13" t="inlineStr">
        <is>
          <t>PostgreSQL 17 (or 18) upgrade plan and rehearsal on both clouds and the hybrid CloudNativePG cluster (Flyway, extensions, pgaudit)</t>
        </is>
      </c>
      <c r="F40" s="13" t="inlineStr">
        <is>
          <t>Plan approved; rehearsal in DEV and UAT with rollback; scheduled before end of 2027</t>
        </is>
      </c>
      <c r="G40" s="12" t="n">
        <v>13</v>
      </c>
      <c r="H40" s="12" t="inlineStr">
        <is>
          <t>P3</t>
        </is>
      </c>
      <c r="I40" s="12" t="inlineStr">
        <is>
          <t>P3</t>
        </is>
      </c>
      <c r="J40" s="13" t="inlineStr">
        <is>
          <t>DBA; Platform / DevOps</t>
        </is>
      </c>
      <c r="K40" s="13" t="inlineStr">
        <is>
          <t>SEC-E13</t>
        </is>
      </c>
      <c r="L40" s="16" t="n"/>
      <c r="M40" s="12" t="inlineStr">
        <is>
          <t>Not started</t>
        </is>
      </c>
      <c r="N40" s="15" t="n"/>
      <c r="O40" s="14" t="n"/>
    </row>
    <row r="41" ht="28.2" customHeight="1">
      <c r="A41" s="12" t="inlineStr">
        <is>
          <t>E15-BL-037</t>
        </is>
      </c>
      <c r="B41" s="12" t="inlineStr">
        <is>
          <t>E15-F14</t>
        </is>
      </c>
      <c r="C41" s="5">
        <f>IFERROR(INDEX('Feature List'!$B$5:$B$21,MATCH(B41,'Feature List'!$A$5:$A$21,0)),"")</f>
        <v/>
      </c>
      <c r="D41" s="12" t="inlineStr">
        <is>
          <t>Task</t>
        </is>
      </c>
      <c r="E41" s="13" t="inlineStr">
        <is>
          <t>Make the STRIDE threat-model refresh an entry criterion of each increment's design sign-off, with a template based on doc 02 Section 7</t>
        </is>
      </c>
      <c r="F41" s="13" t="inlineStr">
        <is>
          <t>Template published; first increment after go-live signed off with an updated model</t>
        </is>
      </c>
      <c r="G41" s="12" t="n">
        <v>3</v>
      </c>
      <c r="H41" s="12" t="inlineStr">
        <is>
          <t>P2</t>
        </is>
      </c>
      <c r="I41" s="12" t="inlineStr">
        <is>
          <t>P2</t>
        </is>
      </c>
      <c r="J41" s="13" t="inlineStr">
        <is>
          <t>Security champions; Architecture</t>
        </is>
      </c>
      <c r="K41" s="13" t="inlineStr">
        <is>
          <t>SEC-E14</t>
        </is>
      </c>
      <c r="L41" s="16" t="n"/>
      <c r="M41" s="12" t="inlineStr">
        <is>
          <t>Not started</t>
        </is>
      </c>
      <c r="N41" s="15" t="n"/>
      <c r="O41" s="14" t="n"/>
    </row>
    <row r="42" ht="40.8" customHeight="1">
      <c r="A42" s="12" t="inlineStr">
        <is>
          <t>E15-BL-038</t>
        </is>
      </c>
      <c r="B42" s="12" t="inlineStr">
        <is>
          <t>E15-F14</t>
        </is>
      </c>
      <c r="C42" s="5">
        <f>IFERROR(INDEX('Feature List'!$B$5:$B$21,MATCH(B42,'Feature List'!$A$5:$A$21,0)),"")</f>
        <v/>
      </c>
      <c r="D42" s="12" t="inlineStr">
        <is>
          <t>Story</t>
        </is>
      </c>
      <c r="E42" s="13" t="inlineStr">
        <is>
          <t>As the DPO I want an abuse-case catalogue for restricted classes and aggregates (colleague look-ups, insider curiosity, partner over-reach, differencing across time windows) with automated tests</t>
        </is>
      </c>
      <c r="F42" s="13" t="inlineStr">
        <is>
          <t>Catalogue reviewed by DPO and OH governance; one automated test per abuse case; RR10 mitigation decided</t>
        </is>
      </c>
      <c r="G42" s="12" t="n">
        <v>8</v>
      </c>
      <c r="H42" s="12" t="inlineStr">
        <is>
          <t>P2</t>
        </is>
      </c>
      <c r="I42" s="12" t="inlineStr">
        <is>
          <t>P1</t>
        </is>
      </c>
      <c r="J42" s="13" t="inlineStr">
        <is>
          <t>QA; Security champions; DPO</t>
        </is>
      </c>
      <c r="K42" s="13" t="inlineStr">
        <is>
          <t>SEC-E14; E09; E10</t>
        </is>
      </c>
      <c r="L42" s="16" t="n"/>
      <c r="M42" s="12" t="inlineStr">
        <is>
          <t>Not started</t>
        </is>
      </c>
      <c r="N42" s="15" t="n"/>
      <c r="O42" s="14" t="n"/>
    </row>
    <row r="43" ht="28.2" customHeight="1">
      <c r="A43" s="12" t="inlineStr">
        <is>
          <t>E15-BL-039</t>
        </is>
      </c>
      <c r="B43" s="12" t="inlineStr">
        <is>
          <t>E15-F15</t>
        </is>
      </c>
      <c r="C43" s="5">
        <f>IFERROR(INDEX('Feature List'!$B$5:$B$21,MATCH(B43,'Feature List'!$A$5:$A$21,0)),"")</f>
        <v/>
      </c>
      <c r="D43" s="12" t="inlineStr">
        <is>
          <t>Enabler</t>
        </is>
      </c>
      <c r="E43" s="13" t="inlineStr">
        <is>
          <t>WAF with the OWASP Core Rule Set and per-client rate rules in front of the on-premises core API (API gateway or ingress)</t>
        </is>
      </c>
      <c r="F43" s="13" t="inlineStr">
        <is>
          <t>Rules active in hybrid UAT; verification suite passes through the WAF; false positives tuned</t>
        </is>
      </c>
      <c r="G43" s="12" t="n">
        <v>5</v>
      </c>
      <c r="H43" s="12" t="inlineStr">
        <is>
          <t>P2</t>
        </is>
      </c>
      <c r="I43" s="12" t="inlineStr">
        <is>
          <t>P2</t>
        </is>
      </c>
      <c r="J43" s="13" t="inlineStr">
        <is>
          <t>Platform / Network</t>
        </is>
      </c>
      <c r="K43" s="13" t="inlineStr">
        <is>
          <t>SEC-E15</t>
        </is>
      </c>
      <c r="L43" s="16" t="n"/>
      <c r="M43" s="12" t="inlineStr">
        <is>
          <t>Not started</t>
        </is>
      </c>
      <c r="N43" s="15" t="n"/>
      <c r="O43" s="14" t="n"/>
    </row>
    <row r="44" ht="40.8" customHeight="1">
      <c r="A44" s="12" t="inlineStr">
        <is>
          <t>E15-BL-040</t>
        </is>
      </c>
      <c r="B44" s="12" t="inlineStr">
        <is>
          <t>E15-F15</t>
        </is>
      </c>
      <c r="C44" s="5">
        <f>IFERROR(INDEX('Feature List'!$B$5:$B$21,MATCH(B44,'Feature List'!$A$5:$A$21,0)),"")</f>
        <v/>
      </c>
      <c r="D44" s="12" t="inlineStr">
        <is>
          <t>Story</t>
        </is>
      </c>
      <c r="E44" s="13" t="inlineStr">
        <is>
          <t>As a partner manager I want an optional IP allow-list per partner organisation for the partner portal and integration clients so that stolen partner credentials cannot be used from elsewhere</t>
        </is>
      </c>
      <c r="F44" s="13" t="inlineStr">
        <is>
          <t>Allow-list configurable in the client overlay; default off; tested with allowed and blocked addresses; documented</t>
        </is>
      </c>
      <c r="G44" s="12" t="n">
        <v>5</v>
      </c>
      <c r="H44" s="12" t="inlineStr">
        <is>
          <t>P2</t>
        </is>
      </c>
      <c r="I44" s="12" t="inlineStr">
        <is>
          <t>P2</t>
        </is>
      </c>
      <c r="J44" s="13" t="inlineStr">
        <is>
          <t>Platform / Network; Partner management</t>
        </is>
      </c>
      <c r="K44" s="13" t="inlineStr">
        <is>
          <t>SEC-E15; E04</t>
        </is>
      </c>
      <c r="L44" s="16" t="n"/>
      <c r="M44" s="12" t="inlineStr">
        <is>
          <t>Not started</t>
        </is>
      </c>
      <c r="N44" s="15" t="n"/>
      <c r="O44" s="14" t="n"/>
    </row>
    <row r="45" ht="28.2" customHeight="1">
      <c r="A45" s="12" t="inlineStr">
        <is>
          <t>E15-BL-041</t>
        </is>
      </c>
      <c r="B45" s="12" t="inlineStr">
        <is>
          <t>E15-F15</t>
        </is>
      </c>
      <c r="C45" s="5">
        <f>IFERROR(INDEX('Feature List'!$B$5:$B$21,MATCH(B45,'Feature List'!$A$5:$A$21,0)),"")</f>
        <v/>
      </c>
      <c r="D45" s="12" t="inlineStr">
        <is>
          <t>Enabler</t>
        </is>
      </c>
      <c r="E45" s="13" t="inlineStr">
        <is>
          <t>Narrow hybrid edge egress from 0.0.0.0/0 to the identity provider and the on-premises API (egress gateway or firewall FQDN rules)</t>
        </is>
      </c>
      <c r="F45" s="13" t="inlineStr">
        <is>
          <t>Edge NetworkPolicy and firewall updated; login and API calls work; other egress blocked (tested)</t>
        </is>
      </c>
      <c r="G45" s="12" t="n">
        <v>3</v>
      </c>
      <c r="H45" s="12" t="inlineStr">
        <is>
          <t>P2</t>
        </is>
      </c>
      <c r="I45" s="12" t="inlineStr">
        <is>
          <t>P2</t>
        </is>
      </c>
      <c r="J45" s="13" t="inlineStr">
        <is>
          <t>Platform / Network</t>
        </is>
      </c>
      <c r="K45" s="13" t="inlineStr">
        <is>
          <t>SEC-E15</t>
        </is>
      </c>
      <c r="L45" s="16" t="n"/>
      <c r="M45" s="12" t="inlineStr">
        <is>
          <t>Not started</t>
        </is>
      </c>
      <c r="N45" s="15" t="n"/>
      <c r="O45" s="14" t="n"/>
    </row>
    <row r="46" ht="28.2" customHeight="1">
      <c r="A46" s="12" t="inlineStr">
        <is>
          <t>E15-BL-042</t>
        </is>
      </c>
      <c r="B46" s="12" t="inlineStr">
        <is>
          <t>E15-F16</t>
        </is>
      </c>
      <c r="C46" s="5">
        <f>IFERROR(INDEX('Feature List'!$B$5:$B$21,MATCH(B46,'Feature List'!$A$5:$A$21,0)),"")</f>
        <v/>
      </c>
      <c r="D46" s="12" t="inlineStr">
        <is>
          <t>Enabler</t>
        </is>
      </c>
      <c r="E46" s="13" t="inlineStr">
        <is>
          <t>ESLint rule in all four web apps that fails on dangerouslySetInnerHTML (no-restricted-syntax on the JSX attribute)</t>
        </is>
      </c>
      <c r="F46" s="13" t="inlineStr">
        <is>
          <t>Rule in each eslint.config.js; a test file with the attribute fails lint; 0-warning policy kept</t>
        </is>
      </c>
      <c r="G46" s="12" t="n">
        <v>2</v>
      </c>
      <c r="H46" s="12" t="inlineStr">
        <is>
          <t>P1</t>
        </is>
      </c>
      <c r="I46" s="12" t="inlineStr">
        <is>
          <t>P2</t>
        </is>
      </c>
      <c r="J46" s="13" t="inlineStr">
        <is>
          <t>Web team</t>
        </is>
      </c>
      <c r="K46" s="13" t="inlineStr">
        <is>
          <t>GR-08</t>
        </is>
      </c>
      <c r="L46" s="16" t="n"/>
      <c r="M46" s="12" t="inlineStr">
        <is>
          <t>Not started</t>
        </is>
      </c>
      <c r="N46" s="15" t="n"/>
      <c r="O46" s="14" t="n"/>
    </row>
    <row r="47" ht="28.2" customHeight="1">
      <c r="A47" s="12" t="inlineStr">
        <is>
          <t>E15-BL-043</t>
        </is>
      </c>
      <c r="B47" s="12" t="inlineStr">
        <is>
          <t>E15-F16</t>
        </is>
      </c>
      <c r="C47" s="5">
        <f>IFERROR(INDEX('Feature List'!$B$5:$B$21,MATCH(B47,'Feature List'!$A$5:$A$21,0)),"")</f>
        <v/>
      </c>
      <c r="D47" s="12" t="inlineStr">
        <is>
          <t>Enabler</t>
        </is>
      </c>
      <c r="E47" s="13" t="inlineStr">
        <is>
          <t>Configuration guard tests: every non-local Helm overlay keeps the rate limit above 0 and wellnessz.analytics.min-group-size ≥ 5</t>
        </is>
      </c>
      <c r="F47" s="13" t="inlineStr">
        <is>
          <t>CI fails when an overlay disables the rate limit or lowers the minimum group size; guardrail table references the test</t>
        </is>
      </c>
      <c r="G47" s="12" t="n">
        <v>3</v>
      </c>
      <c r="H47" s="12" t="inlineStr">
        <is>
          <t>P1</t>
        </is>
      </c>
      <c r="I47" s="12" t="inlineStr">
        <is>
          <t>P2</t>
        </is>
      </c>
      <c r="J47" s="13" t="inlineStr">
        <is>
          <t>Platform / DevOps; Core API team</t>
        </is>
      </c>
      <c r="K47" s="13" t="inlineStr">
        <is>
          <t>GR-15; GR-16</t>
        </is>
      </c>
      <c r="L47" s="16" t="n"/>
      <c r="M47" s="12" t="inlineStr">
        <is>
          <t>Not started</t>
        </is>
      </c>
      <c r="N47" s="15" t="n"/>
      <c r="O47" s="14" t="n"/>
    </row>
    <row r="48" ht="40.8" customHeight="1">
      <c r="A48" s="12" t="inlineStr">
        <is>
          <t>E15-BL-044</t>
        </is>
      </c>
      <c r="B48" s="12" t="inlineStr">
        <is>
          <t>E15-F17</t>
        </is>
      </c>
      <c r="C48" s="5">
        <f>IFERROR(INDEX('Feature List'!$B$5:$B$21,MATCH(B48,'Feature List'!$A$5:$A$21,0)),"")</f>
        <v/>
      </c>
      <c r="D48" s="12" t="inlineStr">
        <is>
          <t>Task</t>
        </is>
      </c>
      <c r="E48" s="13" t="inlineStr">
        <is>
          <t>Run the first quarterly access review (monthly for PLATFORM_ADMIN, OH_ADMIN, AUDITOR, DPO, PSYCH_CLINICIAN, MRO, CMO and the named-clinician lists) and store the evidence</t>
        </is>
      </c>
      <c r="F48" s="13" t="inlineStr">
        <is>
          <t>Review completed and signed; removals ticketed and done; evidence filed for SOC 2</t>
        </is>
      </c>
      <c r="G48" s="12" t="n">
        <v>3</v>
      </c>
      <c r="H48" s="12" t="inlineStr">
        <is>
          <t>P2</t>
        </is>
      </c>
      <c r="I48" s="12" t="inlineStr">
        <is>
          <t>P1</t>
        </is>
      </c>
      <c r="J48" s="13" t="inlineStr">
        <is>
          <t>OH service owner; IAM; DPO</t>
        </is>
      </c>
      <c r="K48" s="13" t="inlineStr">
        <is>
          <t>SEC-E06</t>
        </is>
      </c>
      <c r="L48" s="16" t="n"/>
      <c r="M48" s="12" t="inlineStr">
        <is>
          <t>Not started</t>
        </is>
      </c>
      <c r="N48" s="15" t="n"/>
      <c r="O48" s="14" t="n"/>
    </row>
    <row r="49" ht="28.2" customHeight="1">
      <c r="A49" s="12" t="inlineStr">
        <is>
          <t>E15-BL-045</t>
        </is>
      </c>
      <c r="B49" s="12" t="inlineStr">
        <is>
          <t>E15-F17</t>
        </is>
      </c>
      <c r="C49" s="5">
        <f>IFERROR(INDEX('Feature List'!$B$5:$B$21,MATCH(B49,'Feature List'!$A$5:$A$21,0)),"")</f>
        <v/>
      </c>
      <c r="D49" s="12" t="inlineStr">
        <is>
          <t>Task</t>
        </is>
      </c>
      <c r="E49" s="13" t="inlineStr">
        <is>
          <t>Launch the security-champions programme: one champion per team, CODEOWNERS for security components, fortnightly sync, training plan</t>
        </is>
      </c>
      <c r="F49" s="13" t="inlineStr">
        <is>
          <t>Champions nominated; CODEOWNERS updated; first sync held; training booked</t>
        </is>
      </c>
      <c r="G49" s="12" t="n">
        <v>2</v>
      </c>
      <c r="H49" s="12" t="inlineStr">
        <is>
          <t>P1</t>
        </is>
      </c>
      <c r="I49" s="12" t="inlineStr">
        <is>
          <t>P2</t>
        </is>
      </c>
      <c r="J49" s="13" t="inlineStr">
        <is>
          <t>Engineering leads; Platform Security</t>
        </is>
      </c>
      <c r="K49" s="13" t="inlineStr">
        <is>
          <t>None</t>
        </is>
      </c>
      <c r="L49" s="16" t="n"/>
      <c r="M49" s="12" t="inlineStr">
        <is>
          <t>Not started</t>
        </is>
      </c>
      <c r="N49" s="15" t="n"/>
      <c r="O49" s="14" t="n"/>
    </row>
    <row r="50" ht="40.8" customHeight="1">
      <c r="A50" s="12" t="inlineStr">
        <is>
          <t>E15-BL-046</t>
        </is>
      </c>
      <c r="B50" s="12" t="inlineStr">
        <is>
          <t>E15-F17</t>
        </is>
      </c>
      <c r="C50" s="5">
        <f>IFERROR(INDEX('Feature List'!$B$5:$B$21,MATCH(B50,'Feature List'!$A$5:$A$21,0)),"")</f>
        <v/>
      </c>
      <c r="D50" s="12" t="inlineStr">
        <is>
          <t>Task</t>
        </is>
      </c>
      <c r="E50" s="13" t="inlineStr">
        <is>
          <t>Security calendar: annual penetration test, semi-annual restore test, annual DR exercise and annual incident tabletop (restricted-class data breach)</t>
        </is>
      </c>
      <c r="F50" s="13" t="inlineStr">
        <is>
          <t>Calendar approved by CISO; first tabletop held within 6 months of go-live with lessons learned</t>
        </is>
      </c>
      <c r="G50" s="12" t="n">
        <v>2</v>
      </c>
      <c r="H50" s="12" t="inlineStr">
        <is>
          <t>P2</t>
        </is>
      </c>
      <c r="I50" s="12" t="inlineStr">
        <is>
          <t>P2</t>
        </is>
      </c>
      <c r="J50" s="13" t="inlineStr">
        <is>
          <t>CISO office; DPO; SOC</t>
        </is>
      </c>
      <c r="K50" s="13" t="inlineStr">
        <is>
          <t>SEC-E01</t>
        </is>
      </c>
      <c r="L50" s="16" t="n"/>
      <c r="M50" s="12" t="inlineStr">
        <is>
          <t>Not started</t>
        </is>
      </c>
      <c r="N50" s="15" t="n"/>
      <c r="O50" s="14" t="n"/>
    </row>
    <row r="52">
      <c r="E52" s="17" t="inlineStr">
        <is>
          <t>Total story points (indicative)</t>
        </is>
      </c>
      <c r="G52" s="18">
        <f>SUM(G5:G50)</f>
        <v/>
      </c>
    </row>
    <row r="53">
      <c r="E53" s="17" t="inlineStr">
        <is>
          <t>Items</t>
        </is>
      </c>
      <c r="G53" s="18">
        <f>COUNTA(A5:A50)</f>
        <v/>
      </c>
    </row>
  </sheetData>
  <autoFilter ref="A4:O50"/>
  <mergeCells count="3">
    <mergeCell ref="A1:O1"/>
    <mergeCell ref="A3:O3"/>
    <mergeCell ref="A2:O2"/>
  </mergeCells>
  <conditionalFormatting sqref="I5:I50">
    <cfRule type="cellIs" priority="1" operator="equal" dxfId="0">
      <formula>"P1"</formula>
    </cfRule>
  </conditionalFormatting>
  <dataValidations count="5">
    <dataValidation sqref="M5:M50" showDropDown="0" showInputMessage="0" showErrorMessage="0" allowBlank="1" type="list">
      <formula1>"Not started,In analysis,Ready,In progress,Done,Deferred"</formula1>
    </dataValidation>
    <dataValidation sqref="N5:N50" showDropDown="0" showInputMessage="0" showErrorMessage="0" allowBlank="1" type="list">
      <formula1>"Accept,Modify,Reject,Defer"</formula1>
    </dataValidation>
    <dataValidation sqref="H5:H50" showDropDown="0" showInputMessage="0" showErrorMessage="0" allowBlank="1" type="list">
      <formula1>"P1,P2,P3"</formula1>
    </dataValidation>
    <dataValidation sqref="I5:I50" showDropDown="0" showInputMessage="0" showErrorMessage="0" allowBlank="1" type="list">
      <formula1>"P1,P2,P3"</formula1>
    </dataValidation>
    <dataValidation sqref="D5:D50" showDropDown="0" showInputMessage="0" showErrorMessage="0" allowBlank="1" type="list">
      <formula1>"Story,Enabler,Task,Spike"</formula1>
    </dataValidation>
  </dataValidation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D34"/>
  <sheetViews>
    <sheetView workbookViewId="0">
      <selection activeCell="A1" sqref="A1"/>
    </sheetView>
  </sheetViews>
  <sheetFormatPr baseColWidth="8" defaultRowHeight="15"/>
  <cols>
    <col width="18" customWidth="1" min="1" max="1"/>
    <col width="120" customWidth="1" min="2" max="2"/>
  </cols>
  <sheetData>
    <row r="1" ht="17.35" customHeight="1">
      <c r="A1" s="1" t="inlineStr">
        <is>
          <t>Legends – unit codes, standards, phases, owners</t>
        </is>
      </c>
    </row>
    <row r="2" ht="15" customHeight="1">
      <c r="A2" s="2" t="inlineStr">
        <is>
          <t>Reference for codes used in this workbook</t>
        </is>
      </c>
    </row>
    <row r="3" ht="15" customHeight="1">
      <c r="A3" s="3" t="inlineStr">
        <is>
          <t>Airline Group Occupational Health Case Management (OHCM) | v1.0 – Draft for CISO &amp; Cyber GRC review | 30 October 2026</t>
        </is>
      </c>
    </row>
    <row r="4" ht="31.5" customHeight="1">
      <c r="A4" s="11" t="inlineStr">
        <is>
          <t>Code</t>
        </is>
      </c>
      <c r="B4" s="11" t="inlineStr">
        <is>
          <t>Meaning</t>
        </is>
      </c>
    </row>
    <row r="5" ht="15.6" customHeight="1">
      <c r="A5" s="13" t="inlineStr">
        <is>
          <t>ALL</t>
        </is>
      </c>
      <c r="B5" s="13" t="inlineStr">
        <is>
          <t>All subsidiaries &amp; departments (group-wide)</t>
        </is>
      </c>
    </row>
    <row r="6" ht="15.6" customHeight="1">
      <c r="A6" s="13" t="inlineStr">
        <is>
          <t>FLT</t>
        </is>
      </c>
      <c r="B6" s="13" t="inlineStr">
        <is>
          <t>Flight Operations – pilots / flight crew</t>
        </is>
      </c>
    </row>
    <row r="7" ht="15.6" customHeight="1">
      <c r="A7" s="13" t="inlineStr">
        <is>
          <t>CAB</t>
        </is>
      </c>
      <c r="B7" s="13" t="inlineStr">
        <is>
          <t>Cabin Services – cabin crew</t>
        </is>
      </c>
    </row>
    <row r="8" ht="15.6" customHeight="1">
      <c r="A8" s="13" t="inlineStr">
        <is>
          <t>GND</t>
        </is>
      </c>
      <c r="B8" s="13" t="inlineStr">
        <is>
          <t>Ground Services – ramp, baggage, aircraft turnaround, GSE drivers</t>
        </is>
      </c>
    </row>
    <row r="9" ht="15.6" customHeight="1">
      <c r="A9" s="13" t="inlineStr">
        <is>
          <t>ENG</t>
        </is>
      </c>
      <c r="B9" s="13" t="inlineStr">
        <is>
          <t>Engineering &amp; Maintenance – hangar, hazmat/chemicals, noise, heights, confined spaces</t>
        </is>
      </c>
    </row>
    <row r="10" ht="15.6" customHeight="1">
      <c r="A10" s="13" t="inlineStr">
        <is>
          <t>P1</t>
        </is>
      </c>
      <c r="B10" s="13" t="inlineStr">
        <is>
          <t>Phase 1 – Now (before PROD go-live)</t>
        </is>
      </c>
    </row>
    <row r="11" ht="15.6" customHeight="1">
      <c r="A11" s="13" t="inlineStr">
        <is>
          <t>P2</t>
        </is>
      </c>
      <c r="B11" s="13" t="inlineStr">
        <is>
          <t>Phase 2 – Next (first 90 days of operation)</t>
        </is>
      </c>
    </row>
    <row r="12" ht="15.6" customHeight="1">
      <c r="A12" s="13" t="inlineStr">
        <is>
          <t>P3</t>
        </is>
      </c>
      <c r="B12" s="13" t="inlineStr">
        <is>
          <t>Phase 3 – Later (3–12 months after go-live)</t>
        </is>
      </c>
    </row>
    <row r="13" ht="15.6" customHeight="1">
      <c r="A13" s="13" t="inlineStr">
        <is>
          <t>SEC-E01…E15</t>
        </is>
      </c>
      <c r="B13" s="13" t="inlineStr">
        <is>
          <t>Enhancement items of the Security Enhancement Guideline (docs/security/Security-Enhancement-Guideline.md), Section 3</t>
        </is>
      </c>
    </row>
    <row r="14" ht="15.6" customHeight="1">
      <c r="A14" s="13" t="inlineStr">
        <is>
          <t>GR-01…GR-20</t>
        </is>
      </c>
      <c r="B14" s="13" t="inlineStr">
        <is>
          <t>Secure-by-default guardrails, Security Enhancement Guideline Section 4</t>
        </is>
      </c>
    </row>
    <row r="15" ht="15.6" customHeight="1">
      <c r="A15" s="13" t="inlineStr">
        <is>
          <t>F-01…F-17</t>
        </is>
      </c>
      <c r="B15" s="13" t="inlineStr">
        <is>
          <t>Findings of the 2026-10 security assessment (all closed or accepted)</t>
        </is>
      </c>
    </row>
    <row r="16" ht="15.6" customHeight="1">
      <c r="A16" s="13" t="inlineStr">
        <is>
          <t>RR1…RR41</t>
        </is>
      </c>
      <c r="B16" s="13" t="inlineStr">
        <is>
          <t>Residual risks in doc 02 Security and SOC 2 Control Mapping</t>
        </is>
      </c>
    </row>
    <row r="17" ht="28.2" customHeight="1">
      <c r="A17" s="13" t="inlineStr">
        <is>
          <t>SOC2</t>
        </is>
      </c>
      <c r="B17" s="13" t="inlineStr">
        <is>
          <t>AICPA Trust Services Criteria – CC (common criteria / security), A (availability), C (confidentiality), PI (processing integrity), P (privacy)</t>
        </is>
      </c>
    </row>
    <row r="18" ht="66" customHeight="1">
      <c r="A18" s="13" t="inlineStr">
        <is>
          <t>HITRUST</t>
        </is>
      </c>
      <c r="B18" s="13" t="inlineStr">
        <is>
          <t>HITRUST CSF assessment domains: 01 Information Protection Program, 02 Endpoint Protection, 03 Portable Media Security, 04 Mobile Device Security, 05 Wireless Security, 06 Configuration Management, 07 Vulnerability Management, 08 Network Protection, 09 Transmission Protection, 10 Password Management, 11 Access Control, 12 Audit Logging &amp; Monitoring, 13 Education, Training &amp; Awareness, 14 Third Party Assurance, 15 Incident Management, 16 Business Continuity &amp; Disaster Recovery, 17 Risk Management, 18 Physical &amp; Environmental Security, 19 Data Protection &amp; Privacy</t>
        </is>
      </c>
    </row>
    <row r="19" ht="15.6" customHeight="1">
      <c r="A19" s="13" t="inlineStr">
        <is>
          <t>OWASP-T10</t>
        </is>
      </c>
      <c r="B19" s="13" t="inlineStr">
        <is>
          <t>OWASP Top 10 (2021) – A01 Broken Access Control … A10 Server-Side Request Forgery</t>
        </is>
      </c>
    </row>
    <row r="20" ht="28.2" customHeight="1">
      <c r="A20" s="13" t="inlineStr">
        <is>
          <t>OWASP-API</t>
        </is>
      </c>
      <c r="B20" s="13" t="inlineStr">
        <is>
          <t>OWASP API Security Top 10 (2023) – API1 BOLA, API3 BOPLA, API4 Unrestricted Resource Consumption, API5 BFLA, API6 Unrestricted Access to Sensitive Business Flows …</t>
        </is>
      </c>
    </row>
    <row r="21" ht="15.6" customHeight="1">
      <c r="A21" s="13" t="inlineStr">
        <is>
          <t>OWASP-ASVS</t>
        </is>
      </c>
      <c r="B21" s="13" t="inlineStr">
        <is>
          <t>OWASP Application Security Verification Standard 4.0.3</t>
        </is>
      </c>
    </row>
    <row r="22" ht="15.6" customHeight="1">
      <c r="A22" s="13" t="inlineStr">
        <is>
          <t>OWASP-MASVS</t>
        </is>
      </c>
      <c r="B22" s="13" t="inlineStr">
        <is>
          <t>OWASP Mobile Application Security Verification Standard v2 and MAS testing profiles (L1, L2, R)</t>
        </is>
      </c>
    </row>
    <row r="23" ht="15.6" customHeight="1">
      <c r="A23" s="13" t="inlineStr">
        <is>
          <t>ISO27001</t>
        </is>
      </c>
      <c r="B23" s="13" t="inlineStr">
        <is>
          <t>ISO/IEC 27001:2022 – information security management, Annex A controls</t>
        </is>
      </c>
    </row>
    <row r="24" ht="15.6" customHeight="1">
      <c r="A24" s="13" t="inlineStr">
        <is>
          <t>NIST-SSDF</t>
        </is>
      </c>
      <c r="B24" s="13" t="inlineStr">
        <is>
          <t>NIST SP 800-218 Secure Software Development Framework</t>
        </is>
      </c>
    </row>
    <row r="25" ht="15.6" customHeight="1">
      <c r="A25" s="13" t="inlineStr">
        <is>
          <t>SLSA</t>
        </is>
      </c>
      <c r="B25" s="13" t="inlineStr">
        <is>
          <t>Supply-chain Levels for Software Artifacts – build provenance</t>
        </is>
      </c>
    </row>
    <row r="26" ht="15.6" customHeight="1">
      <c r="A26" s="13" t="inlineStr">
        <is>
          <t>CIS-K8S</t>
        </is>
      </c>
      <c r="B26" s="13" t="inlineStr">
        <is>
          <t>CIS Kubernetes / AKS / GKE benchmarks</t>
        </is>
      </c>
    </row>
    <row r="27" ht="15.6" customHeight="1">
      <c r="A27" s="13" t="inlineStr">
        <is>
          <t>LOCAL-PDP</t>
        </is>
      </c>
      <c r="B27" s="13" t="inlineStr">
        <is>
          <t>Local personal-data-protection law + GDPR Art. 9 (special-category health data) and Art. 32 (security of processing) as benchmark</t>
        </is>
      </c>
    </row>
    <row r="28" ht="15.6" customHeight="1">
      <c r="A28" s="13" t="inlineStr">
        <is>
          <t>ICAO-9654</t>
        </is>
      </c>
      <c r="B28" s="13" t="inlineStr">
        <is>
          <t>ICAO Doc 9654 – prevention of problematic use of substances in the aviation workplace</t>
        </is>
      </c>
    </row>
    <row r="29" ht="15.6" customHeight="1">
      <c r="A29" s="13" t="inlineStr">
        <is>
          <t>EU-1042</t>
        </is>
      </c>
      <c r="B29" s="13" t="inlineStr">
        <is>
          <t>Reg (EU) 2018/1042 – flight-crew support programme, psychological assessment, psychoactive-substance testing</t>
        </is>
      </c>
    </row>
    <row r="30" ht="15.6" customHeight="1">
      <c r="A30" s="13" t="inlineStr">
        <is>
          <t>STRIDE</t>
        </is>
      </c>
      <c r="B30" s="13" t="inlineStr">
        <is>
          <t>Threat categories: Spoofing, Tampering, Repudiation, Information disclosure, Denial of service, Elevation of privilege</t>
        </is>
      </c>
    </row>
    <row r="31" ht="15.6" customHeight="1">
      <c r="A31" s="13" t="inlineStr">
        <is>
          <t>Type: Story</t>
        </is>
      </c>
      <c r="B31" s="13" t="inlineStr">
        <is>
          <t>User-facing functionality or behaviour expressed as a user story</t>
        </is>
      </c>
    </row>
    <row r="32" ht="15.6" customHeight="1">
      <c r="A32" s="13" t="inlineStr">
        <is>
          <t>Type: Enabler</t>
        </is>
      </c>
      <c r="B32" s="13" t="inlineStr">
        <is>
          <t>Architectural / technical foundation work</t>
        </is>
      </c>
    </row>
    <row r="33" ht="15.6" customHeight="1">
      <c r="A33" s="13" t="inlineStr">
        <is>
          <t>Type: Task</t>
        </is>
      </c>
      <c r="B33" s="13" t="inlineStr">
        <is>
          <t>Non-development work (configuration, governance, assessment, training)</t>
        </is>
      </c>
    </row>
    <row r="34" ht="15.6" customHeight="1">
      <c r="A34" s="13" t="inlineStr">
        <is>
          <t>Type: Spike</t>
        </is>
      </c>
      <c r="B34" s="13" t="inlineStr">
        <is>
          <t>Time-boxed investigation to remove uncertainty</t>
        </is>
      </c>
    </row>
  </sheetData>
  <mergeCells count="3">
    <mergeCell ref="A1:D1"/>
    <mergeCell ref="A3:D3"/>
    <mergeCell ref="A2:D2"/>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WellnessZ Platform Security</dc:creator>
  <dc:title xmlns:dc="http://purl.org/dc/elements/1.1/">E15 – Security Hardening &amp; Assurance</dc:title>
  <dc:subject xmlns:dc="http://purl.org/dc/elements/1.1/">WellnessZ OHCM – epic workbook</dc:subject>
  <dcterms:created xmlns:dcterms="http://purl.org/dc/terms/" xmlns:xsi="http://www.w3.org/2001/XMLSchema-instance" xsi:type="dcterms:W3CDTF">2026-10-30T08:05:13Z</dcterms:created>
  <dcterms:modified xmlns:dcterms="http://purl.org/dc/terms/" xmlns:xsi="http://www.w3.org/2001/XMLSchema-instance" xsi:type="dcterms:W3CDTF">2026-10-30T08:05:13Z</dcterms:modified>
</cp:coreProperties>
</file>