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Requirements'!$A$4:$H$9</definedName>
    <definedName name="_xlnm.Print_Titles" localSheetId="1">'High-Level Requirements'!$4:$4</definedName>
    <definedName name="_xlnm._FilterDatabase" localSheetId="2" hidden="1">'Feature List'!$A$4:$J$9</definedName>
    <definedName name="_xlnm.Print_Titles" localSheetId="2">'Feature List'!$4:$4</definedName>
    <definedName name="_xlnm._FilterDatabase" localSheetId="3" hidden="1">'Implementation Backlog'!$A$4:$O$17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E26 – Data Platform &amp; Research-Grade De-identified Datasets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E26</t>
        </is>
      </c>
    </row>
    <row r="6" ht="15.6" customHeight="1">
      <c r="A6" s="4" t="inlineStr">
        <is>
          <t>Epic name</t>
        </is>
      </c>
      <c r="B6" s="5" t="inlineStr">
        <is>
          <t>Data Platform &amp; Research-Grade De-identified Datasets</t>
        </is>
      </c>
    </row>
    <row r="7" ht="53.4" customHeight="1">
      <c r="A7" s="4" t="inlineStr">
        <is>
          <t>Goal</t>
        </is>
      </c>
      <c r="B7" s="5" t="inlineStr">
        <is>
          <t>Extend E17 into a governed, in-country data platform: change-data capture from the outbox and module schemas into an analytics store in the same jurisdiction, purpose-specific pseudonymisation, tiered de-identification (operational KPIs, management analytics, research-grade datasets), a semantic KPI layer for every client epic KPI, data quality rules, lineage and a catalogue, and a trusted research environment with ethics approval for de-identified studies.</t>
        </is>
      </c>
      <c r="C7" s="6" t="n"/>
    </row>
    <row r="8" ht="40.8" customHeight="1">
      <c r="A8" s="4" t="inlineStr">
        <is>
          <t>Business value</t>
        </is>
      </c>
      <c r="B8" s="5" t="inlineStr">
        <is>
          <t>Many client KPIs are not reported today (RTW within 5 days, documentation time, litigated-claim trend, campaign ROI, absence as an insight source). Without them the business case of the programme cannot be proven. A governed platform is also the precondition for any predictive model (E27) and the workforce digital twin (E30).</t>
        </is>
      </c>
      <c r="C8" s="6" t="n"/>
    </row>
    <row r="9" ht="78.59999999999999" customHeight="1">
      <c r="A9" s="4" t="inlineStr">
        <is>
          <t>In scope</t>
        </is>
      </c>
      <c r="B9" s="5" t="inlineStr">
        <is>
          <t>• CDC / outbox-based pipeline into an in-country analytics store (no export outside the jurisdiction)
• Pseudonymisation with purpose-specific keys; de-identification tiers and release rules
• Semantic KPI layer for all client epic KPIs, with small-cell suppression inherited
• Data quality rules, lineage, catalogue and data contracts with each module
• Trusted research environment for de-identified datasets with ethics / DPO approval
• Read-only reporting role (O7) and BI access for approved audiences</t>
        </is>
      </c>
      <c r="C9" s="6" t="n"/>
    </row>
    <row r="10" ht="40.8" customHeight="1">
      <c r="A10" s="4" t="inlineStr">
        <is>
          <t>Out of scope</t>
        </is>
      </c>
      <c r="B10" s="5" t="inlineStr">
        <is>
          <t>• Predictive models (E27)
• Enterprise HR analytics outside OH
• Any person-level OH data for managers or HR</t>
        </is>
      </c>
      <c r="C10" s="6" t="n"/>
    </row>
    <row r="11" ht="15.6" customHeight="1">
      <c r="A11" s="4" t="inlineStr">
        <is>
          <t>Primary stakeholders / roles</t>
        </is>
      </c>
      <c r="B11" s="5" t="inlineStr">
        <is>
          <t>Data product owner; DPO; CMO; Nursing Head; Finance (ROI); Health promotion lead; Cyber GRC; Research / ethics committee</t>
        </is>
      </c>
      <c r="C11" s="6" t="n"/>
    </row>
    <row r="12" ht="66" customHeight="1">
      <c r="A12" s="4" t="inlineStr">
        <is>
          <t>Success KPIs</t>
        </is>
      </c>
      <c r="B12" s="5" t="inlineStr">
        <is>
          <t>• 100 % of client epic KPIs (E01–E14) reported from one semantic layer with definitions signed off
• Data freshness ≤ 1 h for operational dashboards, ≤ 24 h for analytics
• Data-quality rule pass rate ≥ 98 % on critical fields
• 0 re-identification incidents; 100 % of releases with a documented de-identification assessment
• Research dataset request turnaround ≤ 20 working days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E15 Integration (CDC / broker); E16 Identity, consent and keys; E17 Analytics (de-identified view, KPI API, suppression); E18 Master data (definitions, org hierarchy)</t>
        </is>
      </c>
      <c r="C13" s="6" t="n"/>
    </row>
    <row r="14" ht="66" customHeight="1">
      <c r="A14" s="4" t="inlineStr">
        <is>
          <t>Standards &amp; references</t>
        </is>
      </c>
      <c r="B14" s="5" t="inlineStr">
        <is>
          <t>• ISO20889 privacy-enhancing de-identification techniques
• ISO25012 data quality model
• LOCAL-PDP (GDPR Art. 5, 9, 25, 89 as benchmark)
• ISO27701 privacy information management
• HL7-ODH for occupational data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Architecture doc: 'the data-warehouse feed and predictive models' not delivered; O7 read-only reporting role; release notes: RTW-within-5-days, matched-duty rate and documentation time not reported (inc 2), litigated-claim trend (inc 4), ROI not computed and absence not an insight source (inc 5, E12-HLR-01, E12-F05 partial).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H1 – pipeline and KPI layer for the outstanding KPIs; H2 – research environment and de-identified datasets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Requirements'!A5:A9)</f>
        <v/>
      </c>
    </row>
    <row r="20" ht="15" customHeight="1">
      <c r="A20" s="8" t="inlineStr">
        <is>
          <t>Number of features</t>
        </is>
      </c>
      <c r="B20" s="9">
        <f>COUNTA('Feature List'!A5:A9)</f>
        <v/>
      </c>
    </row>
    <row r="21" ht="15" customHeight="1">
      <c r="A21" s="8" t="inlineStr">
        <is>
          <t>Number of backlog items</t>
        </is>
      </c>
      <c r="B21" s="9">
        <f>COUNTA('Implementation Backlog'!A5:A17)</f>
        <v/>
      </c>
    </row>
    <row r="22" ht="15" customHeight="1">
      <c r="A22" s="8" t="inlineStr">
        <is>
          <t>Total story points (indicative)</t>
        </is>
      </c>
      <c r="B22" s="9">
        <f>SUM('Implementation Backlog'!G5:G17)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Backlog'!H5:H17,"H1",'Implementation Backlog'!G5:G17)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Backlog'!H5:H17,"H2",'Implementation Backlog'!G5:G17)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Backlog'!H5:H17,"H3",'Implementation Backlog'!G5:G17)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Backlog'!G5:G17)/30,0)</f>
        <v/>
      </c>
    </row>
    <row r="27" ht="15" customHeight="1">
      <c r="A27" s="8" t="inlineStr">
        <is>
          <t>Must-have requirements</t>
        </is>
      </c>
      <c r="B27" s="9">
        <f>COUNTIF('High-Level Requirements'!D5:D9,"Must")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Backlog'!N5:N17)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5">
    <mergeCell ref="B13:C13"/>
    <mergeCell ref="A1:D1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E26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40.8" customHeight="1">
      <c r="A5" s="12" t="inlineStr">
        <is>
          <t>E26-HLR-01</t>
        </is>
      </c>
      <c r="B5" s="13" t="inlineStr">
        <is>
          <t>Analytical data shall flow from the operational platform to an analytics store hosted in the same jurisdiction through change-data capture or the outbox, without manual extracts.</t>
        </is>
      </c>
      <c r="C5" s="13" t="inlineStr">
        <is>
          <t>Residency and auditability; manual extracts are a leakage risk.</t>
        </is>
      </c>
      <c r="D5" s="12" t="inlineStr">
        <is>
          <t>Must</t>
        </is>
      </c>
      <c r="E5" s="13" t="inlineStr">
        <is>
          <t>LOCAL-PDP; ISO27001</t>
        </is>
      </c>
      <c r="F5" s="13" t="inlineStr">
        <is>
          <t>ALL – All subsidiaries &amp; departments (group-wide)</t>
        </is>
      </c>
      <c r="G5" s="14" t="n"/>
      <c r="H5" s="15" t="n"/>
    </row>
    <row r="6" ht="40.8" customHeight="1">
      <c r="A6" s="12" t="inlineStr">
        <is>
          <t>E26-HLR-02</t>
        </is>
      </c>
      <c r="B6" s="13" t="inlineStr">
        <is>
          <t>Personal identifiers shall be replaced by purpose-specific pseudonyms before data reaches the analytics store; re-linking shall be possible only through a controlled, audited service.</t>
        </is>
      </c>
      <c r="C6" s="13" t="inlineStr">
        <is>
          <t>Data minimisation and purpose limitation for special-category data.</t>
        </is>
      </c>
      <c r="D6" s="12" t="inlineStr">
        <is>
          <t>Must</t>
        </is>
      </c>
      <c r="E6" s="13" t="inlineStr">
        <is>
          <t>ISO20889; LOCAL-PDP</t>
        </is>
      </c>
      <c r="F6" s="13" t="inlineStr">
        <is>
          <t>ALL – All subsidiaries &amp; departments (group-wide)</t>
        </is>
      </c>
      <c r="G6" s="14" t="n"/>
      <c r="H6" s="15" t="n"/>
    </row>
    <row r="7" ht="35.05" customHeight="1">
      <c r="A7" s="12" t="inlineStr">
        <is>
          <t>E26-HLR-03</t>
        </is>
      </c>
      <c r="B7" s="13" t="inlineStr">
        <is>
          <t>Every client epic KPI shall have a signed-off definition in a semantic layer and be reported with small-cell suppression (k ≥ 5) to its audience.</t>
        </is>
      </c>
      <c r="C7" s="13" t="inlineStr">
        <is>
          <t>Business case evidence; consistent definitions across subsidiaries.</t>
        </is>
      </c>
      <c r="D7" s="12" t="inlineStr">
        <is>
          <t>Must</t>
        </is>
      </c>
      <c r="E7" s="13" t="inlineStr">
        <is>
          <t>ISO45001; HIMSS</t>
        </is>
      </c>
      <c r="F7" s="13" t="inlineStr">
        <is>
          <t>ALL – All subsidiaries &amp; departments (group-wide)</t>
        </is>
      </c>
      <c r="G7" s="14" t="n"/>
      <c r="H7" s="15" t="n"/>
    </row>
    <row r="8" ht="35.05" customHeight="1">
      <c r="A8" s="12" t="inlineStr">
        <is>
          <t>E26-HLR-04</t>
        </is>
      </c>
      <c r="B8" s="13" t="inlineStr">
        <is>
          <t>Data quality, lineage and a data catalogue shall be maintained, with data contracts between each module and the platform.</t>
        </is>
      </c>
      <c r="C8" s="13" t="inlineStr">
        <is>
          <t>Analytics and models are only as good as the data; contracts prevent silent breakage.</t>
        </is>
      </c>
      <c r="D8" s="12" t="inlineStr">
        <is>
          <t>Should</t>
        </is>
      </c>
      <c r="E8" s="13" t="inlineStr">
        <is>
          <t>ISO25012</t>
        </is>
      </c>
      <c r="F8" s="13" t="inlineStr">
        <is>
          <t>ALL – All subsidiaries &amp; departments (group-wide)</t>
        </is>
      </c>
      <c r="G8" s="14" t="n"/>
      <c r="H8" s="15" t="n"/>
    </row>
    <row r="9" ht="40.8" customHeight="1">
      <c r="A9" s="12" t="inlineStr">
        <is>
          <t>E26-HLR-05</t>
        </is>
      </c>
      <c r="B9" s="13" t="inlineStr">
        <is>
          <t>De-identified research datasets shall be released only into a trusted research environment after a documented re-identification risk assessment, DPO approval and, where applicable, ethics approval.</t>
        </is>
      </c>
      <c r="C9" s="13" t="inlineStr">
        <is>
          <t>Enables evidence-based OH (e.g. MSK, fatigue, exposure studies) without exposing individuals.</t>
        </is>
      </c>
      <c r="D9" s="12" t="inlineStr">
        <is>
          <t>Should</t>
        </is>
      </c>
      <c r="E9" s="13" t="inlineStr">
        <is>
          <t>ISO20889; LOCAL-PDP</t>
        </is>
      </c>
      <c r="F9" s="13" t="inlineStr">
        <is>
          <t>ALL – All subsidiaries &amp; departments (group-wide)</t>
        </is>
      </c>
      <c r="G9" s="14" t="n"/>
      <c r="H9" s="15" t="n"/>
    </row>
  </sheetData>
  <autoFilter ref="A4:H9"/>
  <mergeCells count="3">
    <mergeCell ref="A3:H3"/>
    <mergeCell ref="A2:H2"/>
    <mergeCell ref="A1:H1"/>
  </mergeCells>
  <conditionalFormatting sqref="D5:D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E26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E26-F01</t>
        </is>
      </c>
      <c r="B5" s="13" t="inlineStr">
        <is>
          <t>In-country analytics pipeline</t>
        </is>
      </c>
      <c r="C5" s="13" t="inlineStr">
        <is>
          <t>CDC / outbox connectors, landing and curated zones, schema evolution, replay; analytics store in the same region pair.</t>
        </is>
      </c>
      <c r="D5" s="13" t="inlineStr">
        <is>
          <t>Data engineers; SRE</t>
        </is>
      </c>
      <c r="E5" s="12" t="inlineStr">
        <is>
          <t>Must</t>
        </is>
      </c>
      <c r="F5" s="13" t="inlineStr">
        <is>
          <t>E26-HLR-01</t>
        </is>
      </c>
      <c r="G5" s="13" t="inlineStr">
        <is>
          <t>Freshness targets met; pipeline replay tested; no resource outside the jurisdiction.</t>
        </is>
      </c>
      <c r="H5" s="13" t="inlineStr">
        <is>
          <t>None</t>
        </is>
      </c>
      <c r="I5" s="14" t="n"/>
      <c r="J5" s="15" t="n"/>
    </row>
    <row r="6" ht="35.05" customHeight="1">
      <c r="A6" s="12" t="inlineStr">
        <is>
          <t>E26-F02</t>
        </is>
      </c>
      <c r="B6" s="13" t="inlineStr">
        <is>
          <t>Pseudonymisation and de-identification service</t>
        </is>
      </c>
      <c r="C6" s="13" t="inlineStr">
        <is>
          <t>Purpose-specific HMAC keys, tokenisation, generalisation and suppression rules, controlled re-linking service with audit.</t>
        </is>
      </c>
      <c r="D6" s="13" t="inlineStr">
        <is>
          <t>Privacy engineer; DPO</t>
        </is>
      </c>
      <c r="E6" s="12" t="inlineStr">
        <is>
          <t>Must</t>
        </is>
      </c>
      <c r="F6" s="13" t="inlineStr">
        <is>
          <t>E26-HLR-02</t>
        </is>
      </c>
      <c r="G6" s="13" t="inlineStr">
        <is>
          <t>No direct identifier in the analytics store; re-link requires approved purpose and is audited.</t>
        </is>
      </c>
      <c r="H6" s="13" t="inlineStr">
        <is>
          <t>Restricted classes (E09 / E10) aggregate-only by default.</t>
        </is>
      </c>
      <c r="I6" s="14" t="n"/>
      <c r="J6" s="15" t="n"/>
    </row>
    <row r="7" ht="35.05" customHeight="1">
      <c r="A7" s="12" t="inlineStr">
        <is>
          <t>E26-F03</t>
        </is>
      </c>
      <c r="B7" s="13" t="inlineStr">
        <is>
          <t>Semantic KPI layer and dashboards</t>
        </is>
      </c>
      <c r="C7" s="13" t="inlineStr">
        <is>
          <t>KPI definitions as code, suppressed aggregates, dashboards per audience (CMO, Nursing Head, HSE, Finance, subsidiaries).</t>
        </is>
      </c>
      <c r="D7" s="13" t="inlineStr">
        <is>
          <t>Data product owner; KPI owners</t>
        </is>
      </c>
      <c r="E7" s="12" t="inlineStr">
        <is>
          <t>Must</t>
        </is>
      </c>
      <c r="F7" s="13" t="inlineStr">
        <is>
          <t>E26-HLR-03</t>
        </is>
      </c>
      <c r="G7" s="13" t="inlineStr">
        <is>
          <t>All client KPIs live with signed definitions; suppression tests pass.</t>
        </is>
      </c>
      <c r="H7" s="13" t="inlineStr">
        <is>
          <t>Subsidiary roll-ups follow org_scope.</t>
        </is>
      </c>
      <c r="I7" s="14" t="n"/>
      <c r="J7" s="15" t="n"/>
    </row>
    <row r="8" ht="35.05" customHeight="1">
      <c r="A8" s="12" t="inlineStr">
        <is>
          <t>E26-F04</t>
        </is>
      </c>
      <c r="B8" s="13" t="inlineStr">
        <is>
          <t>Data quality, lineage and catalogue</t>
        </is>
      </c>
      <c r="C8" s="13" t="inlineStr">
        <is>
          <t>Quality rules on critical fields, lineage from source to KPI, catalogue with owners and classifications, data contracts.</t>
        </is>
      </c>
      <c r="D8" s="13" t="inlineStr">
        <is>
          <t>Data engineers; Module teams</t>
        </is>
      </c>
      <c r="E8" s="12" t="inlineStr">
        <is>
          <t>Should</t>
        </is>
      </c>
      <c r="F8" s="13" t="inlineStr">
        <is>
          <t>E26-HLR-04</t>
        </is>
      </c>
      <c r="G8" s="13" t="inlineStr">
        <is>
          <t>≥ 98 % rule pass; lineage visible for every KPI; contract breaks fail CI.</t>
        </is>
      </c>
      <c r="H8" s="13" t="inlineStr">
        <is>
          <t>None</t>
        </is>
      </c>
      <c r="I8" s="14" t="n"/>
      <c r="J8" s="15" t="n"/>
    </row>
    <row r="9" ht="35.05" customHeight="1">
      <c r="A9" s="12" t="inlineStr">
        <is>
          <t>E26-F05</t>
        </is>
      </c>
      <c r="B9" s="13" t="inlineStr">
        <is>
          <t>Trusted research environment</t>
        </is>
      </c>
      <c r="C9" s="13" t="inlineStr">
        <is>
          <t>Isolated workspace, approved de-identified extracts, output checking, ethics / DPO workflow.</t>
        </is>
      </c>
      <c r="D9" s="13" t="inlineStr">
        <is>
          <t>DPO; Research lead; CMO</t>
        </is>
      </c>
      <c r="E9" s="12" t="inlineStr">
        <is>
          <t>Should</t>
        </is>
      </c>
      <c r="F9" s="13" t="inlineStr">
        <is>
          <t>E26-HLR-05</t>
        </is>
      </c>
      <c r="G9" s="13" t="inlineStr">
        <is>
          <t>First study released after risk assessment; outputs checked before leaving the environment.</t>
        </is>
      </c>
      <c r="H9" s="13" t="inlineStr">
        <is>
          <t>No linkage with external data without approval.</t>
        </is>
      </c>
      <c r="I9" s="14" t="n"/>
      <c r="J9" s="15" t="n"/>
    </row>
  </sheetData>
  <autoFilter ref="A4:J9"/>
  <mergeCells count="3">
    <mergeCell ref="A1:J1"/>
    <mergeCell ref="A3:J3"/>
    <mergeCell ref="A2:J2"/>
  </mergeCells>
  <conditionalFormatting sqref="E5:E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E26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E26-BL-001</t>
        </is>
      </c>
      <c r="B5" s="12" t="inlineStr">
        <is>
          <t>E26-F01</t>
        </is>
      </c>
      <c r="C5" s="13">
        <f>IFERROR(INDEX('Feature List'!$B$5:$B$9,MATCH(B5,'Feature List'!$A$5:$A$9,0)),"")</f>
        <v/>
      </c>
      <c r="D5" s="12" t="inlineStr">
        <is>
          <t>Enabler</t>
        </is>
      </c>
      <c r="E5" s="13" t="inlineStr">
        <is>
          <t>Provision the in-country analytics store and landing / curated zones with infrastructure as code</t>
        </is>
      </c>
      <c r="F5" s="13" t="inlineStr">
        <is>
          <t>Store in the approved region pair; CMK; private networking; policy compliant</t>
        </is>
      </c>
      <c r="G5" s="12" t="n">
        <v>8</v>
      </c>
      <c r="H5" s="12" t="inlineStr">
        <is>
          <t>H1</t>
        </is>
      </c>
      <c r="I5" s="12" t="inlineStr">
        <is>
          <t>P1</t>
        </is>
      </c>
      <c r="J5" s="13" t="inlineStr">
        <is>
          <t>Data &amp; Analytics; SRE / Platform</t>
        </is>
      </c>
      <c r="K5" s="13" t="inlineStr">
        <is>
          <t>E20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E26-BL-002</t>
        </is>
      </c>
      <c r="B6" s="12" t="inlineStr">
        <is>
          <t>E26-F01</t>
        </is>
      </c>
      <c r="C6" s="13">
        <f>IFERROR(INDEX('Feature List'!$B$5:$B$9,MATCH(B6,'Feature List'!$A$5:$A$9,0)),"")</f>
        <v/>
      </c>
      <c r="D6" s="12" t="inlineStr">
        <is>
          <t>Enabler</t>
        </is>
      </c>
      <c r="E6" s="13" t="inlineStr">
        <is>
          <t>CDC / outbox pipeline for the case kernel and modules E01–E08 with replay and schema-evolution handling</t>
        </is>
      </c>
      <c r="F6" s="13" t="inlineStr">
        <is>
          <t>Freshness ≤ 1 h; replay tested; schema change does not break pipeline</t>
        </is>
      </c>
      <c r="G6" s="12" t="n">
        <v>13</v>
      </c>
      <c r="H6" s="12" t="inlineStr">
        <is>
          <t>H1</t>
        </is>
      </c>
      <c r="I6" s="12" t="inlineStr">
        <is>
          <t>P1</t>
        </is>
      </c>
      <c r="J6" s="13" t="inlineStr">
        <is>
          <t>Data &amp; Analytics</t>
        </is>
      </c>
      <c r="K6" s="13" t="inlineStr">
        <is>
          <t>E15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E26-BL-003</t>
        </is>
      </c>
      <c r="B7" s="12" t="inlineStr">
        <is>
          <t>E26-F01</t>
        </is>
      </c>
      <c r="C7" s="13">
        <f>IFERROR(INDEX('Feature List'!$B$5:$B$9,MATCH(B7,'Feature List'!$A$5:$A$9,0)),"")</f>
        <v/>
      </c>
      <c r="D7" s="12" t="inlineStr">
        <is>
          <t>Enabler</t>
        </is>
      </c>
      <c r="E7" s="13" t="inlineStr">
        <is>
          <t>Extend the pipeline to E09–E14 with restricted-class aggregation at source</t>
        </is>
      </c>
      <c r="F7" s="13" t="inlineStr">
        <is>
          <t>Restricted classes arrive aggregated only; verified by test</t>
        </is>
      </c>
      <c r="G7" s="12" t="n">
        <v>8</v>
      </c>
      <c r="H7" s="12" t="inlineStr">
        <is>
          <t>H2</t>
        </is>
      </c>
      <c r="I7" s="12" t="inlineStr">
        <is>
          <t>P2</t>
        </is>
      </c>
      <c r="J7" s="13" t="inlineStr">
        <is>
          <t>Data &amp; Analytics</t>
        </is>
      </c>
      <c r="K7" s="13" t="inlineStr">
        <is>
          <t>E16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E26-BL-004</t>
        </is>
      </c>
      <c r="B8" s="12" t="inlineStr">
        <is>
          <t>E26-F02</t>
        </is>
      </c>
      <c r="C8" s="13">
        <f>IFERROR(INDEX('Feature List'!$B$5:$B$9,MATCH(B8,'Feature List'!$A$5:$A$9,0)),"")</f>
        <v/>
      </c>
      <c r="D8" s="12" t="inlineStr">
        <is>
          <t>Enabler</t>
        </is>
      </c>
      <c r="E8" s="13" t="inlineStr">
        <is>
          <t>Purpose-specific pseudonymisation service with key separation and audited re-linking</t>
        </is>
      </c>
      <c r="F8" s="13" t="inlineStr">
        <is>
          <t>Different pseudonyms per purpose; re-link requires approved purpose; audit chain entries</t>
        </is>
      </c>
      <c r="G8" s="12" t="n">
        <v>8</v>
      </c>
      <c r="H8" s="12" t="inlineStr">
        <is>
          <t>H1</t>
        </is>
      </c>
      <c r="I8" s="12" t="inlineStr">
        <is>
          <t>P1</t>
        </is>
      </c>
      <c r="J8" s="13" t="inlineStr">
        <is>
          <t>Security &amp; Privacy; Data &amp; Analytics</t>
        </is>
      </c>
      <c r="K8" s="13" t="inlineStr">
        <is>
          <t>E16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E26-BL-005</t>
        </is>
      </c>
      <c r="B9" s="12" t="inlineStr">
        <is>
          <t>E26-F02</t>
        </is>
      </c>
      <c r="C9" s="13">
        <f>IFERROR(INDEX('Feature List'!$B$5:$B$9,MATCH(B9,'Feature List'!$A$5:$A$9,0)),"")</f>
        <v/>
      </c>
      <c r="D9" s="12" t="inlineStr">
        <is>
          <t>Task</t>
        </is>
      </c>
      <c r="E9" s="13" t="inlineStr">
        <is>
          <t>De-identification standard: tiers, generalisation rules, suppression, release checklist – approved by the DPO</t>
        </is>
      </c>
      <c r="F9" s="13" t="inlineStr">
        <is>
          <t>Standard approved; applied to first two releases</t>
        </is>
      </c>
      <c r="G9" s="12" t="n">
        <v>3</v>
      </c>
      <c r="H9" s="12" t="inlineStr">
        <is>
          <t>H1</t>
        </is>
      </c>
      <c r="I9" s="12" t="inlineStr">
        <is>
          <t>P1</t>
        </is>
      </c>
      <c r="J9" s="13" t="inlineStr">
        <is>
          <t>Security &amp; Privacy; DPO</t>
        </is>
      </c>
      <c r="K9" s="13" t="inlineStr">
        <is>
          <t>–</t>
        </is>
      </c>
      <c r="L9" s="16" t="n"/>
      <c r="M9" s="12" t="inlineStr">
        <is>
          <t>Not started</t>
        </is>
      </c>
      <c r="N9" s="15" t="n"/>
      <c r="O9" s="14" t="n"/>
    </row>
    <row r="10" ht="40.8" customHeight="1">
      <c r="A10" s="12" t="inlineStr">
        <is>
          <t>E26-BL-006</t>
        </is>
      </c>
      <c r="B10" s="12" t="inlineStr">
        <is>
          <t>E26-F03</t>
        </is>
      </c>
      <c r="C10" s="13">
        <f>IFERROR(INDEX('Feature List'!$B$5:$B$9,MATCH(B10,'Feature List'!$A$5:$A$9,0)),"")</f>
        <v/>
      </c>
      <c r="D10" s="12" t="inlineStr">
        <is>
          <t>Story</t>
        </is>
      </c>
      <c r="E10" s="13" t="inlineStr">
        <is>
          <t>As the CMO I want the outstanding KPIs (RTW within 5 days, matched-duty rate, documentation time, litigated-claim trend) so that I can evidence the programme's benefits</t>
        </is>
      </c>
      <c r="F10" s="13" t="inlineStr">
        <is>
          <t>KPIs live with signed definitions and suppression</t>
        </is>
      </c>
      <c r="G10" s="12" t="n">
        <v>8</v>
      </c>
      <c r="H10" s="12" t="inlineStr">
        <is>
          <t>H1</t>
        </is>
      </c>
      <c r="I10" s="12" t="inlineStr">
        <is>
          <t>P1</t>
        </is>
      </c>
      <c r="J10" s="13" t="inlineStr">
        <is>
          <t>Data &amp; Analytics</t>
        </is>
      </c>
      <c r="K10" s="13" t="inlineStr">
        <is>
          <t>E17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E26-BL-007</t>
        </is>
      </c>
      <c r="B11" s="12" t="inlineStr">
        <is>
          <t>E26-F03</t>
        </is>
      </c>
      <c r="C11" s="13">
        <f>IFERROR(INDEX('Feature List'!$B$5:$B$9,MATCH(B11,'Feature List'!$A$5:$A$9,0)),"")</f>
        <v/>
      </c>
      <c r="D11" s="12" t="inlineStr">
        <is>
          <t>Story</t>
        </is>
      </c>
      <c r="E11" s="13" t="inlineStr">
        <is>
          <t>As the health promotion lead I want cost per participant and per outcome so that campaign ROI can be reported (E12-F05 gap)</t>
        </is>
      </c>
      <c r="F11" s="13" t="inlineStr">
        <is>
          <t>ROI metrics computed from budget and outcomes; finance-approved definition</t>
        </is>
      </c>
      <c r="G11" s="12" t="n">
        <v>5</v>
      </c>
      <c r="H11" s="12" t="inlineStr">
        <is>
          <t>H2</t>
        </is>
      </c>
      <c r="I11" s="12" t="inlineStr">
        <is>
          <t>P2</t>
        </is>
      </c>
      <c r="J11" s="13" t="inlineStr">
        <is>
          <t>Data &amp; Analytics</t>
        </is>
      </c>
      <c r="K11" s="13" t="inlineStr">
        <is>
          <t>E12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E26-BL-008</t>
        </is>
      </c>
      <c r="B12" s="12" t="inlineStr">
        <is>
          <t>E26-F03</t>
        </is>
      </c>
      <c r="C12" s="13">
        <f>IFERROR(INDEX('Feature List'!$B$5:$B$9,MATCH(B12,'Feature List'!$A$5:$A$9,0)),"")</f>
        <v/>
      </c>
      <c r="D12" s="12" t="inlineStr">
        <is>
          <t>Story</t>
        </is>
      </c>
      <c r="E12" s="13" t="inlineStr">
        <is>
          <t>As a Nursing Head I want absence intelligence as a campaign insight source without person-level data (E12-HLR-01 gap)</t>
        </is>
      </c>
      <c r="F12" s="13" t="inlineStr">
        <is>
          <t>Absence aggregates available to the insight rules via the analytics layer; suppression applied</t>
        </is>
      </c>
      <c r="G12" s="12" t="n">
        <v>5</v>
      </c>
      <c r="H12" s="12" t="inlineStr">
        <is>
          <t>H2</t>
        </is>
      </c>
      <c r="I12" s="12" t="inlineStr">
        <is>
          <t>P2</t>
        </is>
      </c>
      <c r="J12" s="13" t="inlineStr">
        <is>
          <t>Data &amp; Analytics</t>
        </is>
      </c>
      <c r="K12" s="13" t="inlineStr">
        <is>
          <t>E06, E12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E26-BL-009</t>
        </is>
      </c>
      <c r="B13" s="12" t="inlineStr">
        <is>
          <t>E26-F04</t>
        </is>
      </c>
      <c r="C13" s="13">
        <f>IFERROR(INDEX('Feature List'!$B$5:$B$9,MATCH(B13,'Feature List'!$A$5:$A$9,0)),"")</f>
        <v/>
      </c>
      <c r="D13" s="12" t="inlineStr">
        <is>
          <t>Enabler</t>
        </is>
      </c>
      <c r="E13" s="13" t="inlineStr">
        <is>
          <t>Data-quality rules on critical fields and lineage from source to KPI</t>
        </is>
      </c>
      <c r="F13" s="13" t="inlineStr">
        <is>
          <t>Rule pass rate dashboard; lineage graph for every KPI</t>
        </is>
      </c>
      <c r="G13" s="12" t="n">
        <v>8</v>
      </c>
      <c r="H13" s="12" t="inlineStr">
        <is>
          <t>H2</t>
        </is>
      </c>
      <c r="I13" s="12" t="inlineStr">
        <is>
          <t>P2</t>
        </is>
      </c>
      <c r="J13" s="13" t="inlineStr">
        <is>
          <t>Data &amp; Analytics</t>
        </is>
      </c>
      <c r="K13" s="13" t="inlineStr">
        <is>
          <t>–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E26-BL-010</t>
        </is>
      </c>
      <c r="B14" s="12" t="inlineStr">
        <is>
          <t>E26-F04</t>
        </is>
      </c>
      <c r="C14" s="13">
        <f>IFERROR(INDEX('Feature List'!$B$5:$B$9,MATCH(B14,'Feature List'!$A$5:$A$9,0)),"")</f>
        <v/>
      </c>
      <c r="D14" s="12" t="inlineStr">
        <is>
          <t>Enabler</t>
        </is>
      </c>
      <c r="E14" s="13" t="inlineStr">
        <is>
          <t>Data contracts between modules and the platform with contract tests in CI</t>
        </is>
      </c>
      <c r="F14" s="13" t="inlineStr">
        <is>
          <t>Breaking change fails the producing module's build</t>
        </is>
      </c>
      <c r="G14" s="12" t="n">
        <v>5</v>
      </c>
      <c r="H14" s="12" t="inlineStr">
        <is>
          <t>H2</t>
        </is>
      </c>
      <c r="I14" s="12" t="inlineStr">
        <is>
          <t>P2</t>
        </is>
      </c>
      <c r="J14" s="13" t="inlineStr">
        <is>
          <t>Platform / Backend; Data &amp; Analytics</t>
        </is>
      </c>
      <c r="K14" s="13" t="inlineStr">
        <is>
          <t>–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E26-BL-011</t>
        </is>
      </c>
      <c r="B15" s="12" t="inlineStr">
        <is>
          <t>E26-F05</t>
        </is>
      </c>
      <c r="C15" s="13">
        <f>IFERROR(INDEX('Feature List'!$B$5:$B$9,MATCH(B15,'Feature List'!$A$5:$A$9,0)),"")</f>
        <v/>
      </c>
      <c r="D15" s="12" t="inlineStr">
        <is>
          <t>Enabler</t>
        </is>
      </c>
      <c r="E15" s="13" t="inlineStr">
        <is>
          <t>Trusted research environment with output checking</t>
        </is>
      </c>
      <c r="F15" s="13" t="inlineStr">
        <is>
          <t>Isolated workspace; no internet egress; output review workflow</t>
        </is>
      </c>
      <c r="G15" s="12" t="n">
        <v>8</v>
      </c>
      <c r="H15" s="12" t="inlineStr">
        <is>
          <t>H2</t>
        </is>
      </c>
      <c r="I15" s="12" t="inlineStr">
        <is>
          <t>P3</t>
        </is>
      </c>
      <c r="J15" s="13" t="inlineStr">
        <is>
          <t>Data &amp; Analytics; SRE / Platform</t>
        </is>
      </c>
      <c r="K15" s="13" t="inlineStr">
        <is>
          <t>E19</t>
        </is>
      </c>
      <c r="L15" s="16" t="n"/>
      <c r="M15" s="12" t="inlineStr">
        <is>
          <t>Not started</t>
        </is>
      </c>
      <c r="N15" s="15" t="n"/>
      <c r="O15" s="14" t="n"/>
    </row>
    <row r="16" ht="28.2" customHeight="1">
      <c r="A16" s="12" t="inlineStr">
        <is>
          <t>E26-BL-012</t>
        </is>
      </c>
      <c r="B16" s="12" t="inlineStr">
        <is>
          <t>E26-F05</t>
        </is>
      </c>
      <c r="C16" s="13">
        <f>IFERROR(INDEX('Feature List'!$B$5:$B$9,MATCH(B16,'Feature List'!$A$5:$A$9,0)),"")</f>
        <v/>
      </c>
      <c r="D16" s="12" t="inlineStr">
        <is>
          <t>Task</t>
        </is>
      </c>
      <c r="E16" s="13" t="inlineStr">
        <is>
          <t>Research data access process with DPO and ethics committee, including re-identification risk assessment template</t>
        </is>
      </c>
      <c r="F16" s="13" t="inlineStr">
        <is>
          <t>Process approved; first request handled within 20 working days</t>
        </is>
      </c>
      <c r="G16" s="12" t="n">
        <v>3</v>
      </c>
      <c r="H16" s="12" t="inlineStr">
        <is>
          <t>H2</t>
        </is>
      </c>
      <c r="I16" s="12" t="inlineStr">
        <is>
          <t>P3</t>
        </is>
      </c>
      <c r="J16" s="13" t="inlineStr">
        <is>
          <t>DPO; Product Owner</t>
        </is>
      </c>
      <c r="K16" s="13" t="inlineStr">
        <is>
          <t>–</t>
        </is>
      </c>
      <c r="L16" s="16" t="n"/>
      <c r="M16" s="12" t="inlineStr">
        <is>
          <t>Not started</t>
        </is>
      </c>
      <c r="N16" s="15" t="n"/>
      <c r="O16" s="14" t="n"/>
    </row>
    <row r="17" ht="28.2" customHeight="1">
      <c r="A17" s="12" t="inlineStr">
        <is>
          <t>E26-BL-013</t>
        </is>
      </c>
      <c r="B17" s="12" t="inlineStr">
        <is>
          <t>E26-F03</t>
        </is>
      </c>
      <c r="C17" s="13">
        <f>IFERROR(INDEX('Feature List'!$B$5:$B$9,MATCH(B17,'Feature List'!$A$5:$A$9,0)),"")</f>
        <v/>
      </c>
      <c r="D17" s="12" t="inlineStr">
        <is>
          <t>Enabler</t>
        </is>
      </c>
      <c r="E17" s="13" t="inlineStr">
        <is>
          <t>Read-only reporting database role and governed BI access (O7)</t>
        </is>
      </c>
      <c r="F17" s="13" t="inlineStr">
        <is>
          <t>Role grants only analytics views; access reviewed quarterly</t>
        </is>
      </c>
      <c r="G17" s="12" t="n">
        <v>3</v>
      </c>
      <c r="H17" s="12" t="inlineStr">
        <is>
          <t>H1</t>
        </is>
      </c>
      <c r="I17" s="12" t="inlineStr">
        <is>
          <t>P1</t>
        </is>
      </c>
      <c r="J17" s="13" t="inlineStr">
        <is>
          <t>Platform / Backend</t>
        </is>
      </c>
      <c r="K17" s="13" t="inlineStr">
        <is>
          <t>E16</t>
        </is>
      </c>
      <c r="L17" s="16" t="n"/>
      <c r="M17" s="12" t="inlineStr">
        <is>
          <t>Not started</t>
        </is>
      </c>
      <c r="N17" s="15" t="n"/>
      <c r="O17" s="14" t="n"/>
    </row>
    <row r="19">
      <c r="E19" s="17" t="inlineStr">
        <is>
          <t>Total story points (indicative)</t>
        </is>
      </c>
      <c r="G19" s="18">
        <f>SUM(G5:G17)</f>
        <v/>
      </c>
    </row>
    <row r="20">
      <c r="E20" s="17" t="inlineStr">
        <is>
          <t>Items</t>
        </is>
      </c>
      <c r="G20" s="18">
        <f>COUNTA(A5:A17)</f>
        <v/>
      </c>
    </row>
  </sheetData>
  <autoFilter ref="A4:O17"/>
  <mergeCells count="3">
    <mergeCell ref="A1:O1"/>
    <mergeCell ref="A3:O3"/>
    <mergeCell ref="A2:O2"/>
  </mergeCells>
  <conditionalFormatting sqref="I5:I17">
    <cfRule type="cellIs" priority="1" operator="equal" dxfId="0">
      <formula>"P1"</formula>
    </cfRule>
  </conditionalFormatting>
  <dataValidations count="5">
    <dataValidation sqref="M5:M17" showDropDown="0" showInputMessage="0" showErrorMessage="0" allowBlank="1" type="list">
      <formula1>"Not started,In analysis,Ready,In progress,Done,Deferred"</formula1>
    </dataValidation>
    <dataValidation sqref="N5:N17" showDropDown="0" showInputMessage="0" showErrorMessage="0" allowBlank="1" type="list">
      <formula1>"Accept,Modify,Reject,Defer"</formula1>
    </dataValidation>
    <dataValidation sqref="H5:H17" showDropDown="0" showInputMessage="0" showErrorMessage="0" allowBlank="1" type="list">
      <formula1>"H1,H2,H3"</formula1>
    </dataValidation>
    <dataValidation sqref="I5:I17" showDropDown="0" showInputMessage="0" showErrorMessage="0" allowBlank="1" type="list">
      <formula1>"P1,P2,P3"</formula1>
    </dataValidation>
    <dataValidation sqref="D5:D17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E26 – Data Platform &amp; Research-Grade De-identified Datasets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