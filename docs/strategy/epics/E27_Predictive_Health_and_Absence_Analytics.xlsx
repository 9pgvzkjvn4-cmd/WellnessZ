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Overview" sheetId="1" state="visible" r:id="rId1"/>
    <sheet xmlns:r="http://schemas.openxmlformats.org/officeDocument/2006/relationships" name="High-Level Requirements" sheetId="2" state="visible" r:id="rId2"/>
    <sheet xmlns:r="http://schemas.openxmlformats.org/officeDocument/2006/relationships" name="Feature List" sheetId="3" state="visible" r:id="rId3"/>
    <sheet xmlns:r="http://schemas.openxmlformats.org/officeDocument/2006/relationships" name="Implementation Backlog" sheetId="4" state="visible" r:id="rId4"/>
    <sheet xmlns:r="http://schemas.openxmlformats.org/officeDocument/2006/relationships" name="Legends" sheetId="5" state="visible" r:id="rId5"/>
  </sheets>
  <definedNames>
    <definedName name="_xlnm.Print_Titles" localSheetId="0">'Epic Overview'!$4:$4</definedName>
    <definedName name="_xlnm._FilterDatabase" localSheetId="1" hidden="1">'High-Level Requirements'!$A$4:$H$10</definedName>
    <definedName name="_xlnm.Print_Titles" localSheetId="1">'High-Level Requirements'!$4:$4</definedName>
    <definedName name="_xlnm._FilterDatabase" localSheetId="2" hidden="1">'Feature List'!$A$4:$J$10</definedName>
    <definedName name="_xlnm.Print_Titles" localSheetId="2">'Feature List'!$4:$4</definedName>
    <definedName name="_xlnm._FilterDatabase" localSheetId="3" hidden="1">'Implementation Backlog'!$A$4:$O$16</definedName>
    <definedName name="_xlnm.Print_Titles" localSheetId="3">'Implementation Backlog'!$4:$4</definedName>
    <definedName name="_xlnm.Print_Titles" localSheetId="4">'Legends'!$4:$4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rgb="FF000000"/>
      <sz val="10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2" customWidth="1" min="3" max="3"/>
  </cols>
  <sheetData>
    <row r="1" ht="17.35" customHeight="1">
      <c r="A1" s="1" t="inlineStr">
        <is>
          <t>E27 – Predictive Health &amp; Absence Analytics (governed)</t>
        </is>
      </c>
    </row>
    <row r="2" ht="15" customHeight="1">
      <c r="A2" s="2" t="inlineStr">
        <is>
          <t>Epic overview, scope, value, KPIs and summary metrics (review with the C-suite sponsor, CIO, CMO / Nursing Head and Cyber GRC)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5" ht="15.6" customHeight="1">
      <c r="A5" s="4" t="inlineStr">
        <is>
          <t>Epic ID</t>
        </is>
      </c>
      <c r="B5" s="5" t="inlineStr">
        <is>
          <t>E27</t>
        </is>
      </c>
    </row>
    <row r="6" ht="15.6" customHeight="1">
      <c r="A6" s="4" t="inlineStr">
        <is>
          <t>Epic name</t>
        </is>
      </c>
      <c r="B6" s="5" t="inlineStr">
        <is>
          <t>Predictive Health &amp; Absence Analytics (governed)</t>
        </is>
      </c>
    </row>
    <row r="7" ht="40.8" customHeight="1">
      <c r="A7" s="4" t="inlineStr">
        <is>
          <t>Goal</t>
        </is>
      </c>
      <c r="B7" s="5" t="inlineStr">
        <is>
          <t>Use the governed data platform to give OH clinicians advisory early-intervention signals – risk of an absence becoming long-term, return-to-work delay against duration guidelines, likely surveillance non-attendance, MSK hotspot forecasts – with a human in the loop for every action, a clinical safety case, model governance, bias testing, regulatory classification and in-country training and hosting.</t>
        </is>
      </c>
      <c r="C7" s="6" t="n"/>
    </row>
    <row r="8" ht="40.8" customHeight="1">
      <c r="A8" s="4" t="inlineStr">
        <is>
          <t>Business value</t>
        </is>
      </c>
      <c r="B8" s="5" t="inlineStr">
        <is>
          <t>Early intervention is the differentiator of leading OH services (client E06 rationale). If a governed model helps clinicians contact the right employee a week earlier, lost workdays and claim costs fall. The value only materialises if clinicians trust the signals and employees trust the use of their data – hence governance first.</t>
        </is>
      </c>
      <c r="C8" s="6" t="n"/>
    </row>
    <row r="9" ht="78.59999999999999" customHeight="1">
      <c r="A9" s="4" t="inlineStr">
        <is>
          <t>In scope</t>
        </is>
      </c>
      <c r="B9" s="5" t="inlineStr">
        <is>
          <t>• Use-case selection with clinicians; silent (shadow) evaluation before any live use
• Models for long-term absence risk, RTW delay, surveillance non-attendance and MSK hotspot forecasting
• Clinician-facing explanations; advisory only; outcome feedback loop
• Model governance: model cards, validation, bias and drift monitoring, change control, decommissioning
• Clinical safety case (DCB0129 / DCB0160-style) and DPIA; regulatory classification (EU AI Act style)
• In-country training and inference; no PHI to external services</t>
        </is>
      </c>
      <c r="C9" s="6" t="n"/>
    </row>
    <row r="10" ht="40.8" customHeight="1">
      <c r="A10" s="4" t="inlineStr">
        <is>
          <t>Out of scope</t>
        </is>
      </c>
      <c r="B10" s="5" t="inlineStr">
        <is>
          <t>• Any automated decision about an individual (fitness, employment, discipline)
• Any individual-level prediction visible to managers, HR or rostering
• Insurance or claims-reserving models</t>
        </is>
      </c>
      <c r="C10" s="6" t="n"/>
    </row>
    <row r="11" ht="15.6" customHeight="1">
      <c r="A11" s="4" t="inlineStr">
        <is>
          <t>Primary stakeholders / roles</t>
        </is>
      </c>
      <c r="B11" s="5" t="inlineStr">
        <is>
          <t>CMO; Clinical safety officer; DPO; Data product owner; Data scientists; Nursing Head; Cyber GRC; Employee representatives; Legal</t>
        </is>
      </c>
      <c r="C11" s="6" t="n"/>
    </row>
    <row r="12" ht="66" customHeight="1">
      <c r="A12" s="4" t="inlineStr">
        <is>
          <t>Success KPIs</t>
        </is>
      </c>
      <c r="B12" s="5" t="inlineStr">
        <is>
          <t>• Silent-pilot discrimination at or above the threshold agreed in the clinical safety case (e.g. AUROC ≥ 0.75, indicative)
• ≥ 70 % of signals rated useful by clinicians in the pilot
• Long-term absence conversion −10 % in pilot units vs comparison units (indicative, to be validated)
• Performance gap between protected groups ≤ 5 points; 0 unresolved bias findings
• 100 % of signals reviewed by a clinician before any contact</t>
        </is>
      </c>
      <c r="C12" s="6" t="n"/>
    </row>
    <row r="13" ht="28.2" customHeight="1">
      <c r="A13" s="4" t="inlineStr">
        <is>
          <t>Dependencies</t>
        </is>
      </c>
      <c r="B13" s="5" t="inlineStr">
        <is>
          <t>E26 Data platform (prerequisite); E06 Absence; E05 Fitness / RTW; E16 Consent, ABAC and audit; E19 Security; decision on AI governance board</t>
        </is>
      </c>
      <c r="C13" s="6" t="n"/>
    </row>
    <row r="14" ht="53.4" customHeight="1">
      <c r="A14" s="4" t="inlineStr">
        <is>
          <t>Standards &amp; references</t>
        </is>
      </c>
      <c r="B14" s="5" t="inlineStr">
        <is>
          <t>• EU-AI-ACT (Reg (EU) 2024/1689) risk classification as benchmark; local AI regulation
• DCB0129 / DCB0160 clinical risk management (benchmark)
• ISO42001 AI management system; ISO23894 AI risk management; NIST AI RMF
• LOCAL-PDP incl. GDPR Art. 22 and 35 as benchmark</t>
        </is>
      </c>
      <c r="C14" s="6" t="n"/>
    </row>
    <row r="15" ht="40.8" customHeight="1">
      <c r="A15" s="4" t="inlineStr">
        <is>
          <t>Evidence base (why now)</t>
        </is>
      </c>
      <c r="B15" s="5" t="inlineStr">
        <is>
          <t>Architecture doc: 'governed predictive models' not delivered; HIMSS DHI (client standard) includes predictive analytics; client E06 rationale: proactive case management (early intervention) is the differentiator; E06 early-intervention queue already exists with rule-based triggers.</t>
        </is>
      </c>
      <c r="C15" s="6" t="n"/>
    </row>
    <row r="16" ht="15.6" customHeight="1">
      <c r="A16" s="4" t="inlineStr">
        <is>
          <t>Recommended start horizon</t>
        </is>
      </c>
      <c r="B16" s="5" t="inlineStr">
        <is>
          <t>H2 – governance, use-case selection and silent pilot; H3 – live advisory use in pilot units, then scale</t>
        </is>
      </c>
    </row>
    <row r="18">
      <c r="A18" s="7" t="inlineStr">
        <is>
          <t>Summary metrics (formula-driven)</t>
        </is>
      </c>
    </row>
    <row r="19" ht="15" customHeight="1">
      <c r="A19" s="8" t="inlineStr">
        <is>
          <t>Number of high-level requirements</t>
        </is>
      </c>
      <c r="B19" s="9">
        <f>COUNTA('High-Level Requirements'!A5:A10)</f>
        <v/>
      </c>
    </row>
    <row r="20" ht="15" customHeight="1">
      <c r="A20" s="8" t="inlineStr">
        <is>
          <t>Number of features</t>
        </is>
      </c>
      <c r="B20" s="9">
        <f>COUNTA('Feature List'!A5:A10)</f>
        <v/>
      </c>
    </row>
    <row r="21" ht="15" customHeight="1">
      <c r="A21" s="8" t="inlineStr">
        <is>
          <t>Number of backlog items</t>
        </is>
      </c>
      <c r="B21" s="9">
        <f>COUNTA('Implementation Backlog'!A5:A16)</f>
        <v/>
      </c>
    </row>
    <row r="22" ht="15" customHeight="1">
      <c r="A22" s="8" t="inlineStr">
        <is>
          <t>Total story points (indicative)</t>
        </is>
      </c>
      <c r="B22" s="9">
        <f>SUM('Implementation Backlog'!G5:G16)</f>
        <v/>
      </c>
    </row>
    <row r="23" ht="15" customHeight="1">
      <c r="A23" s="8" t="inlineStr">
        <is>
          <t>Story points – H1 (0–6 months)</t>
        </is>
      </c>
      <c r="B23" s="9">
        <f>SUMIF('Implementation Backlog'!H5:H16,"H1",'Implementation Backlog'!G5:G16)</f>
        <v/>
      </c>
    </row>
    <row r="24" ht="15" customHeight="1">
      <c r="A24" s="8" t="inlineStr">
        <is>
          <t>Story points – H2 (6–18 months)</t>
        </is>
      </c>
      <c r="B24" s="9">
        <f>SUMIF('Implementation Backlog'!H5:H16,"H2",'Implementation Backlog'!G5:G16)</f>
        <v/>
      </c>
    </row>
    <row r="25" ht="15" customHeight="1">
      <c r="A25" s="8" t="inlineStr">
        <is>
          <t>Story points – H3 (18–36 months)</t>
        </is>
      </c>
      <c r="B25" s="9">
        <f>SUMIF('Implementation Backlog'!H5:H16,"H3",'Implementation Backlog'!G5:G16)</f>
        <v/>
      </c>
    </row>
    <row r="26" ht="27" customHeight="1">
      <c r="A26" s="8" t="inlineStr">
        <is>
          <t>Indicative team-sprints (at 30 SP per sprint)</t>
        </is>
      </c>
      <c r="B26" s="9">
        <f>ROUNDUP(SUM('Implementation Backlog'!G5:G16)/30,0)</f>
        <v/>
      </c>
    </row>
    <row r="27" ht="15" customHeight="1">
      <c r="A27" s="8" t="inlineStr">
        <is>
          <t>Must-have requirements</t>
        </is>
      </c>
      <c r="B27" s="9">
        <f>COUNTIF('High-Level Requirements'!D5:D10,"Must")</f>
        <v/>
      </c>
    </row>
    <row r="28" ht="27" customHeight="1">
      <c r="A28" s="8" t="inlineStr">
        <is>
          <t>Backlog items awaiting review decision</t>
        </is>
      </c>
      <c r="B28" s="9">
        <f>COUNTBLANK('Implementation Backlog'!N5:N16)</f>
        <v/>
      </c>
    </row>
    <row r="30">
      <c r="A30" s="7" t="inlineStr">
        <is>
          <t>Notes &amp; assumptions</t>
        </is>
      </c>
    </row>
    <row r="31" ht="30" customHeight="1">
      <c r="A31" s="10" t="inlineStr">
        <is>
          <t>How to review: yellow cells are for the reviewers named on the overview (C-suite sponsor, CIO, CMO / Nursing Head, Cyber GRC, DPO). Use the 'Decision' and 'Review comment' columns on each sheet; the dropdowns offer Accept / Modify / Reject / Defer.</t>
        </is>
      </c>
    </row>
    <row r="32" ht="30" customHeight="1">
      <c r="A32" s="10" t="inlineStr">
        <is>
          <t>Story points are indicative relative-size estimates (Fibonacci-like scale) produced during strategy drafting; they must be re-estimated by the delivery teams. Team-sprints in the catalogue workbook use an indicative velocity of 30 points per team per two-week sprint.</t>
        </is>
      </c>
    </row>
    <row r="33" ht="30" customHeight="1">
      <c r="A33" s="10" t="inlineStr">
        <is>
          <t>Horizons: H1 = Go-live readiness and close the gaps (months 0–6), H2 = Scale, intelligence and experience (months 6–18), H3 = Ecosystem and industry leadership (months 18–36). Priority on backlog items is P1 (critical) / P2 / P3.</t>
        </is>
      </c>
    </row>
    <row r="34" ht="30" customHeight="1">
      <c r="A34" s="10" t="inlineStr">
        <is>
          <t>Nothing in this workbook exists in the product today unless the 'Evidence base' row says so; benefits and KPI targets are indicative and must be baselined by their business owners.</t>
        </is>
      </c>
    </row>
    <row r="35" ht="30" customHeight="1">
      <c r="A35" s="10" t="inlineStr">
        <is>
          <t>Confidentiality rule used throughout: managers, HR, crew scheduling, vendors and analytics audiences see status or suppressed aggregates only – never diagnosis or clinical detail; all data stays in the client's jurisdiction.</t>
        </is>
      </c>
    </row>
  </sheetData>
  <mergeCells count="15">
    <mergeCell ref="B13:C13"/>
    <mergeCell ref="A1:D1"/>
    <mergeCell ref="A33:C33"/>
    <mergeCell ref="B15:C15"/>
    <mergeCell ref="B7:C7"/>
    <mergeCell ref="B11:C11"/>
    <mergeCell ref="A32:C32"/>
    <mergeCell ref="A31:C31"/>
    <mergeCell ref="B10:C10"/>
    <mergeCell ref="B14:C14"/>
    <mergeCell ref="A35:C35"/>
    <mergeCell ref="A34:C34"/>
    <mergeCell ref="B9:C9"/>
    <mergeCell ref="B8:C8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45" customWidth="1" min="3" max="3"/>
    <col width="12" customWidth="1" min="4" max="4"/>
    <col width="28" customWidth="1" min="5" max="5"/>
    <col width="34" customWidth="1" min="6" max="6"/>
    <col width="36" customWidth="1" min="7" max="7"/>
    <col width="12" customWidth="1" min="8" max="8"/>
  </cols>
  <sheetData>
    <row r="1" ht="17.35" customHeight="1">
      <c r="A1" s="1" t="inlineStr">
        <is>
          <t>E27 – High-Level Requirements</t>
        </is>
      </c>
    </row>
    <row r="2" ht="15" customHeight="1">
      <c r="A2" s="2" t="inlineStr">
        <is>
          <t>What the solution must achieve for this epic (MoSCoW prioritised, traced to standards and to the evidence of increments 1–5)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HLR ID</t>
        </is>
      </c>
      <c r="B4" s="11" t="inlineStr">
        <is>
          <t>Requirement</t>
        </is>
      </c>
      <c r="C4" s="11" t="inlineStr">
        <is>
          <t>Rationale</t>
        </is>
      </c>
      <c r="D4" s="11" t="inlineStr">
        <is>
          <t>Priority (MoSCoW)</t>
        </is>
      </c>
      <c r="E4" s="11" t="inlineStr">
        <is>
          <t>Standards / sources</t>
        </is>
      </c>
      <c r="F4" s="11" t="inlineStr">
        <is>
          <t>Applicable units</t>
        </is>
      </c>
      <c r="G4" s="11" t="inlineStr">
        <is>
          <t>Review comment (sponsor / CMO / GRC)</t>
        </is>
      </c>
      <c r="H4" s="11" t="inlineStr">
        <is>
          <t>Decision</t>
        </is>
      </c>
    </row>
    <row r="5" ht="40.8" customHeight="1">
      <c r="A5" s="12" t="inlineStr">
        <is>
          <t>E27-HLR-01</t>
        </is>
      </c>
      <c r="B5" s="13" t="inlineStr">
        <is>
          <t>Predictive outputs shall be advisory only, shown to authorised OH clinicians, and require a clinician's review before any contact or action; no automated decision shall be made about an individual.</t>
        </is>
      </c>
      <c r="C5" s="13" t="inlineStr">
        <is>
          <t>Human oversight; GDPR Art. 22-type rights; trust.</t>
        </is>
      </c>
      <c r="D5" s="12" t="inlineStr">
        <is>
          <t>Must</t>
        </is>
      </c>
      <c r="E5" s="13" t="inlineStr">
        <is>
          <t>EU-AI-ACT; LOCAL-PDP</t>
        </is>
      </c>
      <c r="F5" s="13" t="inlineStr">
        <is>
          <t>ALL – All subsidiaries &amp; departments (group-wide)</t>
        </is>
      </c>
      <c r="G5" s="14" t="n"/>
      <c r="H5" s="15" t="n"/>
    </row>
    <row r="6" ht="35.05" customHeight="1">
      <c r="A6" s="12" t="inlineStr">
        <is>
          <t>E27-HLR-02</t>
        </is>
      </c>
      <c r="B6" s="13" t="inlineStr">
        <is>
          <t>Each model shall have a clinical safety case, a DPIA, a model card and a regulatory classification approved before live use.</t>
        </is>
      </c>
      <c r="C6" s="13" t="inlineStr">
        <is>
          <t>Health and employment contexts can be high-risk under AI regulation.</t>
        </is>
      </c>
      <c r="D6" s="12" t="inlineStr">
        <is>
          <t>Must</t>
        </is>
      </c>
      <c r="E6" s="13" t="inlineStr">
        <is>
          <t>DCB0129; EU-AI-ACT; ISO42001</t>
        </is>
      </c>
      <c r="F6" s="13" t="inlineStr">
        <is>
          <t>ALL – All subsidiaries &amp; departments (group-wide)</t>
        </is>
      </c>
      <c r="G6" s="14" t="n"/>
      <c r="H6" s="15" t="n"/>
    </row>
    <row r="7" ht="35.05" customHeight="1">
      <c r="A7" s="12" t="inlineStr">
        <is>
          <t>E27-HLR-03</t>
        </is>
      </c>
      <c r="B7" s="13" t="inlineStr">
        <is>
          <t>Models shall be validated in a silent pilot and monitored in use for performance, calibration, drift and bias across subsidiaries and protected groups.</t>
        </is>
      </c>
      <c r="C7" s="13" t="inlineStr">
        <is>
          <t>Prevents harm from biased or decaying models.</t>
        </is>
      </c>
      <c r="D7" s="12" t="inlineStr">
        <is>
          <t>Must</t>
        </is>
      </c>
      <c r="E7" s="13" t="inlineStr">
        <is>
          <t>ISO23894; NIST-AI-RMF</t>
        </is>
      </c>
      <c r="F7" s="13" t="inlineStr">
        <is>
          <t>ALL – All subsidiaries &amp; departments (group-wide)</t>
        </is>
      </c>
      <c r="G7" s="14" t="n"/>
      <c r="H7" s="15" t="n"/>
    </row>
    <row r="8" ht="35.05" customHeight="1">
      <c r="A8" s="12" t="inlineStr">
        <is>
          <t>E27-HLR-04</t>
        </is>
      </c>
      <c r="B8" s="13" t="inlineStr">
        <is>
          <t>Training and inference shall run in-country on pseudonymised data; no personal health data shall be sent to an external model service.</t>
        </is>
      </c>
      <c r="C8" s="13" t="inlineStr">
        <is>
          <t>Residency and special-category data rules.</t>
        </is>
      </c>
      <c r="D8" s="12" t="inlineStr">
        <is>
          <t>Must</t>
        </is>
      </c>
      <c r="E8" s="13" t="inlineStr">
        <is>
          <t>LOCAL-PDP; ISO27001</t>
        </is>
      </c>
      <c r="F8" s="13" t="inlineStr">
        <is>
          <t>ALL – All subsidiaries &amp; departments (group-wide)</t>
        </is>
      </c>
      <c r="G8" s="14" t="n"/>
      <c r="H8" s="15" t="n"/>
    </row>
    <row r="9" ht="40.8" customHeight="1">
      <c r="A9" s="12" t="inlineStr">
        <is>
          <t>E27-HLR-05</t>
        </is>
      </c>
      <c r="B9" s="13" t="inlineStr">
        <is>
          <t>Employees shall be told how predictive signals are used, and the use shall be covered by the privacy notice and works-council / employee-representative consultation where required.</t>
        </is>
      </c>
      <c r="C9" s="13" t="inlineStr">
        <is>
          <t>Transparency and legitimacy.</t>
        </is>
      </c>
      <c r="D9" s="12" t="inlineStr">
        <is>
          <t>Must</t>
        </is>
      </c>
      <c r="E9" s="13" t="inlineStr">
        <is>
          <t>LOCAL-PDP; EU-AI-ACT</t>
        </is>
      </c>
      <c r="F9" s="13" t="inlineStr">
        <is>
          <t>ALL – All subsidiaries &amp; departments (group-wide)</t>
        </is>
      </c>
      <c r="G9" s="14" t="n"/>
      <c r="H9" s="15" t="n"/>
    </row>
    <row r="10" ht="35.05" customHeight="1">
      <c r="A10" s="12" t="inlineStr">
        <is>
          <t>E27-HLR-06</t>
        </is>
      </c>
      <c r="B10" s="13" t="inlineStr">
        <is>
          <t>Aggregate forecasts (e.g. MSK hotspots, surveillance demand) shall be available to prevention and planning roles with suppression.</t>
        </is>
      </c>
      <c r="C10" s="13" t="inlineStr">
        <is>
          <t>Population-level value without individual exposure.</t>
        </is>
      </c>
      <c r="D10" s="12" t="inlineStr">
        <is>
          <t>Should</t>
        </is>
      </c>
      <c r="E10" s="13" t="inlineStr">
        <is>
          <t>ISO45001</t>
        </is>
      </c>
      <c r="F10" s="13" t="inlineStr">
        <is>
          <t>ALL – All subsidiaries &amp; departments (group-wide)</t>
        </is>
      </c>
      <c r="G10" s="14" t="n"/>
      <c r="H10" s="15" t="n"/>
    </row>
  </sheetData>
  <autoFilter ref="A4:H10"/>
  <mergeCells count="3">
    <mergeCell ref="A3:H3"/>
    <mergeCell ref="A2:H2"/>
    <mergeCell ref="A1:H1"/>
  </mergeCells>
  <conditionalFormatting sqref="D5:D10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H5:H10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24" customWidth="1" min="4" max="4"/>
    <col width="12" customWidth="1" min="5" max="5"/>
    <col width="18" customWidth="1" min="6" max="6"/>
    <col width="48" customWidth="1" min="7" max="7"/>
    <col width="36" customWidth="1" min="8" max="8"/>
    <col width="30" customWidth="1" min="9" max="9"/>
    <col width="12" customWidth="1" min="10" max="10"/>
  </cols>
  <sheetData>
    <row r="1" ht="17.35" customHeight="1">
      <c r="A1" s="1" t="inlineStr">
        <is>
          <t>E27 – Low-Level Feature List</t>
        </is>
      </c>
    </row>
    <row r="2" ht="15" customHeight="1">
      <c r="A2" s="2" t="inlineStr">
        <is>
          <t>Features that implement the high-level requirements, with roles, acceptance criteria and unit-specific notes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Feature ID</t>
        </is>
      </c>
      <c r="B4" s="11" t="inlineStr">
        <is>
          <t>Feature</t>
        </is>
      </c>
      <c r="C4" s="11" t="inlineStr">
        <is>
          <t>Description</t>
        </is>
      </c>
      <c r="D4" s="11" t="inlineStr">
        <is>
          <t>Primary roles</t>
        </is>
      </c>
      <c r="E4" s="11" t="inlineStr">
        <is>
          <t>Priority (MoSCoW)</t>
        </is>
      </c>
      <c r="F4" s="11" t="inlineStr">
        <is>
          <t>Traces to HLR</t>
        </is>
      </c>
      <c r="G4" s="11" t="inlineStr">
        <is>
          <t>Acceptance criteria (summary)</t>
        </is>
      </c>
      <c r="H4" s="11" t="inlineStr">
        <is>
          <t>Unit-specific notes</t>
        </is>
      </c>
      <c r="I4" s="11" t="inlineStr">
        <is>
          <t>Review comment</t>
        </is>
      </c>
      <c r="J4" s="11" t="inlineStr">
        <is>
          <t>Decision</t>
        </is>
      </c>
    </row>
    <row r="5" ht="35.05" customHeight="1">
      <c r="A5" s="12" t="inlineStr">
        <is>
          <t>E27-F01</t>
        </is>
      </c>
      <c r="B5" s="13" t="inlineStr">
        <is>
          <t>AI governance and clinical safety</t>
        </is>
      </c>
      <c r="C5" s="13" t="inlineStr">
        <is>
          <t>AI governance board, clinical safety case, DPIA, model cards, classification, change control.</t>
        </is>
      </c>
      <c r="D5" s="13" t="inlineStr">
        <is>
          <t>Clinical safety officer; DPO; CMO</t>
        </is>
      </c>
      <c r="E5" s="12" t="inlineStr">
        <is>
          <t>Must</t>
        </is>
      </c>
      <c r="F5" s="13" t="inlineStr">
        <is>
          <t>E27-HLR-02</t>
        </is>
      </c>
      <c r="G5" s="13" t="inlineStr">
        <is>
          <t>Board chartered; safety case approved before live use.</t>
        </is>
      </c>
      <c r="H5" s="13" t="inlineStr">
        <is>
          <t>Applies also to E28.</t>
        </is>
      </c>
      <c r="I5" s="14" t="n"/>
      <c r="J5" s="15" t="n"/>
    </row>
    <row r="6" ht="35.05" customHeight="1">
      <c r="A6" s="12" t="inlineStr">
        <is>
          <t>E27-F02</t>
        </is>
      </c>
      <c r="B6" s="13" t="inlineStr">
        <is>
          <t>Model development and silent pilot</t>
        </is>
      </c>
      <c r="C6" s="13" t="inlineStr">
        <is>
          <t>Feature engineering on pseudonymised data, model training in-country, silent evaluation against outcomes.</t>
        </is>
      </c>
      <c r="D6" s="13" t="inlineStr">
        <is>
          <t>Data scientists; Clinicians</t>
        </is>
      </c>
      <c r="E6" s="12" t="inlineStr">
        <is>
          <t>Must</t>
        </is>
      </c>
      <c r="F6" s="13" t="inlineStr">
        <is>
          <t>E27-HLR-03</t>
        </is>
      </c>
      <c r="G6" s="13" t="inlineStr">
        <is>
          <t>Silent-pilot report meets agreed thresholds; bias analysis included.</t>
        </is>
      </c>
      <c r="H6" s="13" t="inlineStr">
        <is>
          <t>Restricted classes excluded unless approved.</t>
        </is>
      </c>
      <c r="I6" s="14" t="n"/>
      <c r="J6" s="15" t="n"/>
    </row>
    <row r="7" ht="35.05" customHeight="1">
      <c r="A7" s="12" t="inlineStr">
        <is>
          <t>E27-F03</t>
        </is>
      </c>
      <c r="B7" s="13" t="inlineStr">
        <is>
          <t>Clinician-facing advisory signals</t>
        </is>
      </c>
      <c r="C7" s="13" t="inlineStr">
        <is>
          <t>Signals in the E06 early-intervention queue with explanation, confidence and feedback; no exposure outside OH.</t>
        </is>
      </c>
      <c r="D7" s="13" t="inlineStr">
        <is>
          <t>OH nurse; Physician</t>
        </is>
      </c>
      <c r="E7" s="12" t="inlineStr">
        <is>
          <t>Must</t>
        </is>
      </c>
      <c r="F7" s="13" t="inlineStr">
        <is>
          <t>E27-HLR-01</t>
        </is>
      </c>
      <c r="G7" s="13" t="inlineStr">
        <is>
          <t>Signals visible to OH roles only; review recorded before action; feedback captured.</t>
        </is>
      </c>
      <c r="H7" s="13" t="inlineStr">
        <is>
          <t>Pilot units only at first.</t>
        </is>
      </c>
      <c r="I7" s="14" t="n"/>
      <c r="J7" s="15" t="n"/>
    </row>
    <row r="8" ht="35.05" customHeight="1">
      <c r="A8" s="12" t="inlineStr">
        <is>
          <t>E27-F04</t>
        </is>
      </c>
      <c r="B8" s="13" t="inlineStr">
        <is>
          <t>Model monitoring and lifecycle</t>
        </is>
      </c>
      <c r="C8" s="13" t="inlineStr">
        <is>
          <t>Performance, calibration, drift and fairness monitoring; retraining under change control; decommissioning.</t>
        </is>
      </c>
      <c r="D8" s="13" t="inlineStr">
        <is>
          <t>Data scientists; Clinical safety officer</t>
        </is>
      </c>
      <c r="E8" s="12" t="inlineStr">
        <is>
          <t>Must</t>
        </is>
      </c>
      <c r="F8" s="13" t="inlineStr">
        <is>
          <t>E27-HLR-03</t>
        </is>
      </c>
      <c r="G8" s="13" t="inlineStr">
        <is>
          <t>Monthly monitoring report; alert on drift; retraining approved before release.</t>
        </is>
      </c>
      <c r="H8" s="13" t="inlineStr">
        <is>
          <t>None</t>
        </is>
      </c>
      <c r="I8" s="14" t="n"/>
      <c r="J8" s="15" t="n"/>
    </row>
    <row r="9" ht="35.05" customHeight="1">
      <c r="A9" s="12" t="inlineStr">
        <is>
          <t>E27-F05</t>
        </is>
      </c>
      <c r="B9" s="13" t="inlineStr">
        <is>
          <t>Transparency and employee communication</t>
        </is>
      </c>
      <c r="C9" s="13" t="inlineStr">
        <is>
          <t>Privacy notice update, employee FAQ, representative consultation, opt-out where required.</t>
        </is>
      </c>
      <c r="D9" s="13" t="inlineStr">
        <is>
          <t>DPO; Change &amp; Training</t>
        </is>
      </c>
      <c r="E9" s="12" t="inlineStr">
        <is>
          <t>Must</t>
        </is>
      </c>
      <c r="F9" s="13" t="inlineStr">
        <is>
          <t>E27-HLR-05</t>
        </is>
      </c>
      <c r="G9" s="13" t="inlineStr">
        <is>
          <t>Notice published before live use; consultation record.</t>
        </is>
      </c>
      <c r="H9" s="13" t="inlineStr">
        <is>
          <t>Local law may require opt-out.</t>
        </is>
      </c>
      <c r="I9" s="14" t="n"/>
      <c r="J9" s="15" t="n"/>
    </row>
    <row r="10" ht="35.05" customHeight="1">
      <c r="A10" s="12" t="inlineStr">
        <is>
          <t>E27-F06</t>
        </is>
      </c>
      <c r="B10" s="13" t="inlineStr">
        <is>
          <t>Aggregate forecasts</t>
        </is>
      </c>
      <c r="C10" s="13" t="inlineStr">
        <is>
          <t>Suppressed forecasts for MSK hotspots and surveillance demand feeding E12 and E14.</t>
        </is>
      </c>
      <c r="D10" s="13" t="inlineStr">
        <is>
          <t>Health promotion lead; Clinic manager</t>
        </is>
      </c>
      <c r="E10" s="12" t="inlineStr">
        <is>
          <t>Should</t>
        </is>
      </c>
      <c r="F10" s="13" t="inlineStr">
        <is>
          <t>E27-HLR-06</t>
        </is>
      </c>
      <c r="G10" s="13" t="inlineStr">
        <is>
          <t>Forecast error reported; suppression applied.</t>
        </is>
      </c>
      <c r="H10" s="13" t="inlineStr">
        <is>
          <t>Feeds E30.</t>
        </is>
      </c>
      <c r="I10" s="14" t="n"/>
      <c r="J10" s="15" t="n"/>
    </row>
  </sheetData>
  <autoFilter ref="A4:J10"/>
  <mergeCells count="3">
    <mergeCell ref="A1:J1"/>
    <mergeCell ref="A3:J3"/>
    <mergeCell ref="A2:J2"/>
  </mergeCells>
  <conditionalFormatting sqref="E5:E10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J5:J10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9" customWidth="1" min="4" max="4"/>
    <col width="60" customWidth="1" min="5" max="5"/>
    <col width="55" customWidth="1" min="6" max="6"/>
    <col width="10" customWidth="1" min="7" max="7"/>
    <col width="9" customWidth="1" min="8" max="8"/>
    <col width="9" customWidth="1" min="9" max="9"/>
    <col width="24" customWidth="1" min="10" max="10"/>
    <col width="14" customWidth="1" min="11" max="11"/>
    <col width="10" customWidth="1" min="12" max="12"/>
    <col width="13" customWidth="1" min="13" max="13"/>
    <col width="11" customWidth="1" min="14" max="14"/>
    <col width="30" customWidth="1" min="15" max="15"/>
  </cols>
  <sheetData>
    <row r="1" ht="17.35" customHeight="1">
      <c r="A1" s="1" t="inlineStr">
        <is>
          <t>E27 – Implementation Backlog (line by line)</t>
        </is>
      </c>
    </row>
    <row r="2" ht="15" customHeight="1">
      <c r="A2" s="2" t="inlineStr">
        <is>
          <t>User stories, enablers, tasks and spikes with acceptance criteria, indicative estimates, horizon, priority, owner and dependencies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Backlog ID</t>
        </is>
      </c>
      <c r="B4" s="11" t="inlineStr">
        <is>
          <t>Feature ID</t>
        </is>
      </c>
      <c r="C4" s="11" t="inlineStr">
        <is>
          <t>Feature (lookup)</t>
        </is>
      </c>
      <c r="D4" s="11" t="inlineStr">
        <is>
          <t>Type</t>
        </is>
      </c>
      <c r="E4" s="11" t="inlineStr">
        <is>
          <t>Title / user story</t>
        </is>
      </c>
      <c r="F4" s="11" t="inlineStr">
        <is>
          <t>Acceptance criteria / definition of done</t>
        </is>
      </c>
      <c r="G4" s="11" t="inlineStr">
        <is>
          <t>Story points (indicative)</t>
        </is>
      </c>
      <c r="H4" s="11" t="inlineStr">
        <is>
          <t>Horizon</t>
        </is>
      </c>
      <c r="I4" s="11" t="inlineStr">
        <is>
          <t>Priority</t>
        </is>
      </c>
      <c r="J4" s="11" t="inlineStr">
        <is>
          <t>Owner / team</t>
        </is>
      </c>
      <c r="K4" s="11" t="inlineStr">
        <is>
          <t>Dependencies (epics)</t>
        </is>
      </c>
      <c r="L4" s="11" t="inlineStr">
        <is>
          <t>Sprint (to assign)</t>
        </is>
      </c>
      <c r="M4" s="11" t="inlineStr">
        <is>
          <t>Status</t>
        </is>
      </c>
      <c r="N4" s="11" t="inlineStr">
        <is>
          <t>Decision</t>
        </is>
      </c>
      <c r="O4" s="11" t="inlineStr">
        <is>
          <t>Review comment</t>
        </is>
      </c>
    </row>
    <row r="5" ht="28.2" customHeight="1">
      <c r="A5" s="12" t="inlineStr">
        <is>
          <t>E27-BL-001</t>
        </is>
      </c>
      <c r="B5" s="12" t="inlineStr">
        <is>
          <t>E27-F01</t>
        </is>
      </c>
      <c r="C5" s="13">
        <f>IFERROR(INDEX('Feature List'!$B$5:$B$10,MATCH(B5,'Feature List'!$A$5:$A$10,0)),"")</f>
        <v/>
      </c>
      <c r="D5" s="12" t="inlineStr">
        <is>
          <t>Task</t>
        </is>
      </c>
      <c r="E5" s="13" t="inlineStr">
        <is>
          <t>Charter the AI governance board (CMO, clinical safety officer, DPO, CISO, legal, employee representative)</t>
        </is>
      </c>
      <c r="F5" s="13" t="inlineStr">
        <is>
          <t>Terms of reference; RACI; first meeting held</t>
        </is>
      </c>
      <c r="G5" s="12" t="n">
        <v>2</v>
      </c>
      <c r="H5" s="12" t="inlineStr">
        <is>
          <t>H2</t>
        </is>
      </c>
      <c r="I5" s="12" t="inlineStr">
        <is>
          <t>P1</t>
        </is>
      </c>
      <c r="J5" s="13" t="inlineStr">
        <is>
          <t>Product Owner; DPO</t>
        </is>
      </c>
      <c r="K5" s="13" t="inlineStr">
        <is>
          <t>–</t>
        </is>
      </c>
      <c r="L5" s="16" t="n"/>
      <c r="M5" s="12" t="inlineStr">
        <is>
          <t>Not started</t>
        </is>
      </c>
      <c r="N5" s="15" t="n"/>
      <c r="O5" s="14" t="n"/>
    </row>
    <row r="6" ht="28.2" customHeight="1">
      <c r="A6" s="12" t="inlineStr">
        <is>
          <t>E27-BL-002</t>
        </is>
      </c>
      <c r="B6" s="12" t="inlineStr">
        <is>
          <t>E27-F01</t>
        </is>
      </c>
      <c r="C6" s="13">
        <f>IFERROR(INDEX('Feature List'!$B$5:$B$10,MATCH(B6,'Feature List'!$A$5:$A$10,0)),"")</f>
        <v/>
      </c>
      <c r="D6" s="12" t="inlineStr">
        <is>
          <t>Task</t>
        </is>
      </c>
      <c r="E6" s="13" t="inlineStr">
        <is>
          <t>Clinical safety case and DPIA for the long-term absence risk use case</t>
        </is>
      </c>
      <c r="F6" s="13" t="inlineStr">
        <is>
          <t>Hazard log; risk controls; approval by clinical safety officer and DPO</t>
        </is>
      </c>
      <c r="G6" s="12" t="n">
        <v>5</v>
      </c>
      <c r="H6" s="12" t="inlineStr">
        <is>
          <t>H2</t>
        </is>
      </c>
      <c r="I6" s="12" t="inlineStr">
        <is>
          <t>P1</t>
        </is>
      </c>
      <c r="J6" s="13" t="inlineStr">
        <is>
          <t>Clinical safety officer; DPO</t>
        </is>
      </c>
      <c r="K6" s="13" t="inlineStr">
        <is>
          <t>E26</t>
        </is>
      </c>
      <c r="L6" s="16" t="n"/>
      <c r="M6" s="12" t="inlineStr">
        <is>
          <t>Not started</t>
        </is>
      </c>
      <c r="N6" s="15" t="n"/>
      <c r="O6" s="14" t="n"/>
    </row>
    <row r="7" ht="28.2" customHeight="1">
      <c r="A7" s="12" t="inlineStr">
        <is>
          <t>E27-BL-003</t>
        </is>
      </c>
      <c r="B7" s="12" t="inlineStr">
        <is>
          <t>E27-F01</t>
        </is>
      </c>
      <c r="C7" s="13">
        <f>IFERROR(INDEX('Feature List'!$B$5:$B$10,MATCH(B7,'Feature List'!$A$5:$A$10,0)),"")</f>
        <v/>
      </c>
      <c r="D7" s="12" t="inlineStr">
        <is>
          <t>Spike</t>
        </is>
      </c>
      <c r="E7" s="13" t="inlineStr">
        <is>
          <t>Regulatory classification of each use case under the applicable AI regulation and local law</t>
        </is>
      </c>
      <c r="F7" s="13" t="inlineStr">
        <is>
          <t>Classification memo per use case with obligations</t>
        </is>
      </c>
      <c r="G7" s="12" t="n">
        <v>3</v>
      </c>
      <c r="H7" s="12" t="inlineStr">
        <is>
          <t>H2</t>
        </is>
      </c>
      <c r="I7" s="12" t="inlineStr">
        <is>
          <t>P1</t>
        </is>
      </c>
      <c r="J7" s="13" t="inlineStr">
        <is>
          <t>Legal; Security &amp; Privacy</t>
        </is>
      </c>
      <c r="K7" s="13" t="inlineStr">
        <is>
          <t>–</t>
        </is>
      </c>
      <c r="L7" s="16" t="n"/>
      <c r="M7" s="12" t="inlineStr">
        <is>
          <t>Not started</t>
        </is>
      </c>
      <c r="N7" s="15" t="n"/>
      <c r="O7" s="14" t="n"/>
    </row>
    <row r="8" ht="28.2" customHeight="1">
      <c r="A8" s="12" t="inlineStr">
        <is>
          <t>E27-BL-004</t>
        </is>
      </c>
      <c r="B8" s="12" t="inlineStr">
        <is>
          <t>E27-F02</t>
        </is>
      </c>
      <c r="C8" s="13">
        <f>IFERROR(INDEX('Feature List'!$B$5:$B$10,MATCH(B8,'Feature List'!$A$5:$A$10,0)),"")</f>
        <v/>
      </c>
      <c r="D8" s="12" t="inlineStr">
        <is>
          <t>Enabler</t>
        </is>
      </c>
      <c r="E8" s="13" t="inlineStr">
        <is>
          <t>Feature store on pseudonymised data in the in-country analytics platform</t>
        </is>
      </c>
      <c r="F8" s="13" t="inlineStr">
        <is>
          <t>Features documented; no direct identifiers; lineage</t>
        </is>
      </c>
      <c r="G8" s="12" t="n">
        <v>8</v>
      </c>
      <c r="H8" s="12" t="inlineStr">
        <is>
          <t>H2</t>
        </is>
      </c>
      <c r="I8" s="12" t="inlineStr">
        <is>
          <t>P1</t>
        </is>
      </c>
      <c r="J8" s="13" t="inlineStr">
        <is>
          <t>Data &amp; Analytics</t>
        </is>
      </c>
      <c r="K8" s="13" t="inlineStr">
        <is>
          <t>E26</t>
        </is>
      </c>
      <c r="L8" s="16" t="n"/>
      <c r="M8" s="12" t="inlineStr">
        <is>
          <t>Not started</t>
        </is>
      </c>
      <c r="N8" s="15" t="n"/>
      <c r="O8" s="14" t="n"/>
    </row>
    <row r="9" ht="28.2" customHeight="1">
      <c r="A9" s="12" t="inlineStr">
        <is>
          <t>E27-BL-005</t>
        </is>
      </c>
      <c r="B9" s="12" t="inlineStr">
        <is>
          <t>E27-F02</t>
        </is>
      </c>
      <c r="C9" s="13">
        <f>IFERROR(INDEX('Feature List'!$B$5:$B$10,MATCH(B9,'Feature List'!$A$5:$A$10,0)),"")</f>
        <v/>
      </c>
      <c r="D9" s="12" t="inlineStr">
        <is>
          <t>Story</t>
        </is>
      </c>
      <c r="E9" s="13" t="inlineStr">
        <is>
          <t>As the CMO I want a silent pilot of long-term absence risk against real outcomes so that we only go live if it helps</t>
        </is>
      </c>
      <c r="F9" s="13" t="inlineStr">
        <is>
          <t>6-month silent run; report on discrimination, calibration, fairness</t>
        </is>
      </c>
      <c r="G9" s="12" t="n">
        <v>13</v>
      </c>
      <c r="H9" s="12" t="inlineStr">
        <is>
          <t>H2</t>
        </is>
      </c>
      <c r="I9" s="12" t="inlineStr">
        <is>
          <t>P1</t>
        </is>
      </c>
      <c r="J9" s="13" t="inlineStr">
        <is>
          <t>Data &amp; Analytics</t>
        </is>
      </c>
      <c r="K9" s="13" t="inlineStr">
        <is>
          <t>E06</t>
        </is>
      </c>
      <c r="L9" s="16" t="n"/>
      <c r="M9" s="12" t="inlineStr">
        <is>
          <t>Not started</t>
        </is>
      </c>
      <c r="N9" s="15" t="n"/>
      <c r="O9" s="14" t="n"/>
    </row>
    <row r="10" ht="28.2" customHeight="1">
      <c r="A10" s="12" t="inlineStr">
        <is>
          <t>E27-BL-006</t>
        </is>
      </c>
      <c r="B10" s="12" t="inlineStr">
        <is>
          <t>E27-F02</t>
        </is>
      </c>
      <c r="C10" s="13">
        <f>IFERROR(INDEX('Feature List'!$B$5:$B$10,MATCH(B10,'Feature List'!$A$5:$A$10,0)),"")</f>
        <v/>
      </c>
      <c r="D10" s="12" t="inlineStr">
        <is>
          <t>Story</t>
        </is>
      </c>
      <c r="E10" s="13" t="inlineStr">
        <is>
          <t>As a Nursing Head I want an RTW-delay signal against duration guidelines so that stalled cases are reviewed earlier</t>
        </is>
      </c>
      <c r="F10" s="13" t="inlineStr">
        <is>
          <t>Silent evaluation; threshold agreed; explanation available</t>
        </is>
      </c>
      <c r="G10" s="12" t="n">
        <v>8</v>
      </c>
      <c r="H10" s="12" t="inlineStr">
        <is>
          <t>H3</t>
        </is>
      </c>
      <c r="I10" s="12" t="inlineStr">
        <is>
          <t>P2</t>
        </is>
      </c>
      <c r="J10" s="13" t="inlineStr">
        <is>
          <t>Data &amp; Analytics</t>
        </is>
      </c>
      <c r="K10" s="13" t="inlineStr">
        <is>
          <t>E05</t>
        </is>
      </c>
      <c r="L10" s="16" t="n"/>
      <c r="M10" s="12" t="inlineStr">
        <is>
          <t>Not started</t>
        </is>
      </c>
      <c r="N10" s="15" t="n"/>
      <c r="O10" s="14" t="n"/>
    </row>
    <row r="11" ht="40.8" customHeight="1">
      <c r="A11" s="12" t="inlineStr">
        <is>
          <t>E27-BL-007</t>
        </is>
      </c>
      <c r="B11" s="12" t="inlineStr">
        <is>
          <t>E27-F03</t>
        </is>
      </c>
      <c r="C11" s="13">
        <f>IFERROR(INDEX('Feature List'!$B$5:$B$10,MATCH(B11,'Feature List'!$A$5:$A$10,0)),"")</f>
        <v/>
      </c>
      <c r="D11" s="12" t="inlineStr">
        <is>
          <t>Story</t>
        </is>
      </c>
      <c r="E11" s="13" t="inlineStr">
        <is>
          <t>As an OH nurse I want advisory risk signals in my early-intervention queue with the main contributing factors so that I can decide whether to call</t>
        </is>
      </c>
      <c r="F11" s="13" t="inlineStr">
        <is>
          <t>Signal, explanation and confidence shown to OH roles only; review recorded</t>
        </is>
      </c>
      <c r="G11" s="12" t="n">
        <v>8</v>
      </c>
      <c r="H11" s="12" t="inlineStr">
        <is>
          <t>H3</t>
        </is>
      </c>
      <c r="I11" s="12" t="inlineStr">
        <is>
          <t>P1</t>
        </is>
      </c>
      <c r="J11" s="13" t="inlineStr">
        <is>
          <t>Frontend / UX; Data &amp; Analytics</t>
        </is>
      </c>
      <c r="K11" s="13" t="inlineStr">
        <is>
          <t>E06, E16</t>
        </is>
      </c>
      <c r="L11" s="16" t="n"/>
      <c r="M11" s="12" t="inlineStr">
        <is>
          <t>Not started</t>
        </is>
      </c>
      <c r="N11" s="15" t="n"/>
      <c r="O11" s="14" t="n"/>
    </row>
    <row r="12" ht="28.2" customHeight="1">
      <c r="A12" s="12" t="inlineStr">
        <is>
          <t>E27-BL-008</t>
        </is>
      </c>
      <c r="B12" s="12" t="inlineStr">
        <is>
          <t>E27-F03</t>
        </is>
      </c>
      <c r="C12" s="13">
        <f>IFERROR(INDEX('Feature List'!$B$5:$B$10,MATCH(B12,'Feature List'!$A$5:$A$10,0)),"")</f>
        <v/>
      </c>
      <c r="D12" s="12" t="inlineStr">
        <is>
          <t>Story</t>
        </is>
      </c>
      <c r="E12" s="13" t="inlineStr">
        <is>
          <t>As a clinician I want to give feedback on each signal so that the model and its thresholds can be reviewed</t>
        </is>
      </c>
      <c r="F12" s="13" t="inlineStr">
        <is>
          <t>Feedback captured; used in monitoring report</t>
        </is>
      </c>
      <c r="G12" s="12" t="n">
        <v>3</v>
      </c>
      <c r="H12" s="12" t="inlineStr">
        <is>
          <t>H3</t>
        </is>
      </c>
      <c r="I12" s="12" t="inlineStr">
        <is>
          <t>P2</t>
        </is>
      </c>
      <c r="J12" s="13" t="inlineStr">
        <is>
          <t>Frontend / UX</t>
        </is>
      </c>
      <c r="K12" s="13" t="inlineStr">
        <is>
          <t>–</t>
        </is>
      </c>
      <c r="L12" s="16" t="n"/>
      <c r="M12" s="12" t="inlineStr">
        <is>
          <t>Not started</t>
        </is>
      </c>
      <c r="N12" s="15" t="n"/>
      <c r="O12" s="14" t="n"/>
    </row>
    <row r="13" ht="28.2" customHeight="1">
      <c r="A13" s="12" t="inlineStr">
        <is>
          <t>E27-BL-009</t>
        </is>
      </c>
      <c r="B13" s="12" t="inlineStr">
        <is>
          <t>E27-F04</t>
        </is>
      </c>
      <c r="C13" s="13">
        <f>IFERROR(INDEX('Feature List'!$B$5:$B$10,MATCH(B13,'Feature List'!$A$5:$A$10,0)),"")</f>
        <v/>
      </c>
      <c r="D13" s="12" t="inlineStr">
        <is>
          <t>Enabler</t>
        </is>
      </c>
      <c r="E13" s="13" t="inlineStr">
        <is>
          <t>Monitoring of performance, calibration, drift and fairness with alerting</t>
        </is>
      </c>
      <c r="F13" s="13" t="inlineStr">
        <is>
          <t>Monthly report; drift alert tested</t>
        </is>
      </c>
      <c r="G13" s="12" t="n">
        <v>8</v>
      </c>
      <c r="H13" s="12" t="inlineStr">
        <is>
          <t>H3</t>
        </is>
      </c>
      <c r="I13" s="12" t="inlineStr">
        <is>
          <t>P1</t>
        </is>
      </c>
      <c r="J13" s="13" t="inlineStr">
        <is>
          <t>Data &amp; Analytics</t>
        </is>
      </c>
      <c r="K13" s="13" t="inlineStr">
        <is>
          <t>E20</t>
        </is>
      </c>
      <c r="L13" s="16" t="n"/>
      <c r="M13" s="12" t="inlineStr">
        <is>
          <t>Not started</t>
        </is>
      </c>
      <c r="N13" s="15" t="n"/>
      <c r="O13" s="14" t="n"/>
    </row>
    <row r="14" ht="28.2" customHeight="1">
      <c r="A14" s="12" t="inlineStr">
        <is>
          <t>E27-BL-010</t>
        </is>
      </c>
      <c r="B14" s="12" t="inlineStr">
        <is>
          <t>E27-F04</t>
        </is>
      </c>
      <c r="C14" s="13">
        <f>IFERROR(INDEX('Feature List'!$B$5:$B$10,MATCH(B14,'Feature List'!$A$5:$A$10,0)),"")</f>
        <v/>
      </c>
      <c r="D14" s="12" t="inlineStr">
        <is>
          <t>Task</t>
        </is>
      </c>
      <c r="E14" s="13" t="inlineStr">
        <is>
          <t>Model change-control and decommissioning procedure</t>
        </is>
      </c>
      <c r="F14" s="13" t="inlineStr">
        <is>
          <t>Procedure approved by governance board</t>
        </is>
      </c>
      <c r="G14" s="12" t="n">
        <v>2</v>
      </c>
      <c r="H14" s="12" t="inlineStr">
        <is>
          <t>H2</t>
        </is>
      </c>
      <c r="I14" s="12" t="inlineStr">
        <is>
          <t>P2</t>
        </is>
      </c>
      <c r="J14" s="13" t="inlineStr">
        <is>
          <t>Clinical safety officer; Data &amp; Analytics</t>
        </is>
      </c>
      <c r="K14" s="13" t="inlineStr">
        <is>
          <t>–</t>
        </is>
      </c>
      <c r="L14" s="16" t="n"/>
      <c r="M14" s="12" t="inlineStr">
        <is>
          <t>Not started</t>
        </is>
      </c>
      <c r="N14" s="15" t="n"/>
      <c r="O14" s="14" t="n"/>
    </row>
    <row r="15" ht="28.2" customHeight="1">
      <c r="A15" s="12" t="inlineStr">
        <is>
          <t>E27-BL-011</t>
        </is>
      </c>
      <c r="B15" s="12" t="inlineStr">
        <is>
          <t>E27-F05</t>
        </is>
      </c>
      <c r="C15" s="13">
        <f>IFERROR(INDEX('Feature List'!$B$5:$B$10,MATCH(B15,'Feature List'!$A$5:$A$10,0)),"")</f>
        <v/>
      </c>
      <c r="D15" s="12" t="inlineStr">
        <is>
          <t>Task</t>
        </is>
      </c>
      <c r="E15" s="13" t="inlineStr">
        <is>
          <t>Update privacy notice, employee FAQ and consult representatives before any live use</t>
        </is>
      </c>
      <c r="F15" s="13" t="inlineStr">
        <is>
          <t>Notice published; consultation record</t>
        </is>
      </c>
      <c r="G15" s="12" t="n">
        <v>3</v>
      </c>
      <c r="H15" s="12" t="inlineStr">
        <is>
          <t>H2</t>
        </is>
      </c>
      <c r="I15" s="12" t="inlineStr">
        <is>
          <t>P1</t>
        </is>
      </c>
      <c r="J15" s="13" t="inlineStr">
        <is>
          <t>DPO; Change &amp; Training</t>
        </is>
      </c>
      <c r="K15" s="13" t="inlineStr">
        <is>
          <t>–</t>
        </is>
      </c>
      <c r="L15" s="16" t="n"/>
      <c r="M15" s="12" t="inlineStr">
        <is>
          <t>Not started</t>
        </is>
      </c>
      <c r="N15" s="15" t="n"/>
      <c r="O15" s="14" t="n"/>
    </row>
    <row r="16" ht="28.2" customHeight="1">
      <c r="A16" s="12" t="inlineStr">
        <is>
          <t>E27-BL-012</t>
        </is>
      </c>
      <c r="B16" s="12" t="inlineStr">
        <is>
          <t>E27-F06</t>
        </is>
      </c>
      <c r="C16" s="13">
        <f>IFERROR(INDEX('Feature List'!$B$5:$B$10,MATCH(B16,'Feature List'!$A$5:$A$10,0)),"")</f>
        <v/>
      </c>
      <c r="D16" s="12" t="inlineStr">
        <is>
          <t>Story</t>
        </is>
      </c>
      <c r="E16" s="13" t="inlineStr">
        <is>
          <t>As the health promotion lead I want suppressed MSK hotspot forecasts by unit so that campaigns are planned before injuries rise</t>
        </is>
      </c>
      <c r="F16" s="13" t="inlineStr">
        <is>
          <t>Forecast with error reported; suppression k ≥ 5</t>
        </is>
      </c>
      <c r="G16" s="12" t="n">
        <v>5</v>
      </c>
      <c r="H16" s="12" t="inlineStr">
        <is>
          <t>H3</t>
        </is>
      </c>
      <c r="I16" s="12" t="inlineStr">
        <is>
          <t>P3</t>
        </is>
      </c>
      <c r="J16" s="13" t="inlineStr">
        <is>
          <t>Data &amp; Analytics</t>
        </is>
      </c>
      <c r="K16" s="13" t="inlineStr">
        <is>
          <t>E12</t>
        </is>
      </c>
      <c r="L16" s="16" t="n"/>
      <c r="M16" s="12" t="inlineStr">
        <is>
          <t>Not started</t>
        </is>
      </c>
      <c r="N16" s="15" t="n"/>
      <c r="O16" s="14" t="n"/>
    </row>
    <row r="18">
      <c r="E18" s="17" t="inlineStr">
        <is>
          <t>Total story points (indicative)</t>
        </is>
      </c>
      <c r="G18" s="18">
        <f>SUM(G5:G16)</f>
        <v/>
      </c>
    </row>
    <row r="19">
      <c r="E19" s="17" t="inlineStr">
        <is>
          <t>Items</t>
        </is>
      </c>
      <c r="G19" s="18">
        <f>COUNTA(A5:A16)</f>
        <v/>
      </c>
    </row>
  </sheetData>
  <autoFilter ref="A4:O16"/>
  <mergeCells count="3">
    <mergeCell ref="A1:O1"/>
    <mergeCell ref="A3:O3"/>
    <mergeCell ref="A2:O2"/>
  </mergeCells>
  <conditionalFormatting sqref="I5:I16">
    <cfRule type="cellIs" priority="1" operator="equal" dxfId="0">
      <formula>"P1"</formula>
    </cfRule>
  </conditionalFormatting>
  <dataValidations count="5">
    <dataValidation sqref="M5:M16" showDropDown="0" showInputMessage="0" showErrorMessage="0" allowBlank="1" type="list">
      <formula1>"Not started,In analysis,Ready,In progress,Done,Deferred"</formula1>
    </dataValidation>
    <dataValidation sqref="N5:N16" showDropDown="0" showInputMessage="0" showErrorMessage="0" allowBlank="1" type="list">
      <formula1>"Accept,Modify,Reject,Defer"</formula1>
    </dataValidation>
    <dataValidation sqref="H5:H16" showDropDown="0" showInputMessage="0" showErrorMessage="0" allowBlank="1" type="list">
      <formula1>"H1,H2,H3"</formula1>
    </dataValidation>
    <dataValidation sqref="I5:I16" showDropDown="0" showInputMessage="0" showErrorMessage="0" allowBlank="1" type="list">
      <formula1>"P1,P2,P3"</formula1>
    </dataValidation>
    <dataValidation sqref="D5:D16" showDropDown="0" showInputMessage="0" showErrorMessage="0" allowBlank="1" type="list">
      <formula1>"Story,Enabler,Task,Spike"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7.35" customHeight="1">
      <c r="A1" s="1" t="inlineStr">
        <is>
          <t>Legends – unit codes, standards, horizons, owners</t>
        </is>
      </c>
    </row>
    <row r="2" ht="15" customHeight="1">
      <c r="A2" s="2" t="inlineStr">
        <is>
          <t>Reference for codes used in this workbook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Code</t>
        </is>
      </c>
      <c r="B4" s="11" t="inlineStr">
        <is>
          <t>Meaning</t>
        </is>
      </c>
    </row>
    <row r="5" ht="15.6" customHeight="1">
      <c r="A5" s="13" t="inlineStr">
        <is>
          <t>ALL</t>
        </is>
      </c>
      <c r="B5" s="13" t="inlineStr">
        <is>
          <t>All subsidiaries &amp; departments (group-wide)</t>
        </is>
      </c>
    </row>
    <row r="6" ht="15.6" customHeight="1">
      <c r="A6" s="13" t="inlineStr">
        <is>
          <t>FLT</t>
        </is>
      </c>
      <c r="B6" s="13" t="inlineStr">
        <is>
          <t>Flight Operations – pilots / flight crew</t>
        </is>
      </c>
    </row>
    <row r="7" ht="15.6" customHeight="1">
      <c r="A7" s="13" t="inlineStr">
        <is>
          <t>CAB</t>
        </is>
      </c>
      <c r="B7" s="13" t="inlineStr">
        <is>
          <t>Cabin Services – cabin crew</t>
        </is>
      </c>
    </row>
    <row r="8" ht="15.6" customHeight="1">
      <c r="A8" s="13" t="inlineStr">
        <is>
          <t>GND</t>
        </is>
      </c>
      <c r="B8" s="13" t="inlineStr">
        <is>
          <t>Ground Services – ramp, baggage, aircraft turnaround, GSE drivers</t>
        </is>
      </c>
    </row>
    <row r="9" ht="15.6" customHeight="1">
      <c r="A9" s="13" t="inlineStr">
        <is>
          <t>CGO</t>
        </is>
      </c>
      <c r="B9" s="13" t="inlineStr">
        <is>
          <t>Cargo &amp; Freight – warehouse, DGR/hazmat handling, cold chain, forklift</t>
        </is>
      </c>
    </row>
    <row r="10" ht="15.6" customHeight="1">
      <c r="A10" s="13" t="inlineStr">
        <is>
          <t>CAT</t>
        </is>
      </c>
      <c r="B10" s="13" t="inlineStr">
        <is>
          <t>Catering – food production, food handlers, cold rooms, dish-wash, knives</t>
        </is>
      </c>
    </row>
    <row r="11" ht="15.6" customHeight="1">
      <c r="A11" s="13" t="inlineStr">
        <is>
          <t>ENG</t>
        </is>
      </c>
      <c r="B11" s="13" t="inlineStr">
        <is>
          <t>Engineering &amp; Maintenance – hangar, hazmat/chemicals, noise, heights, confined space</t>
        </is>
      </c>
    </row>
    <row r="12" ht="15.6" customHeight="1">
      <c r="A12" s="13" t="inlineStr">
        <is>
          <t>SEC</t>
        </is>
      </c>
      <c r="B12" s="13" t="inlineStr">
        <is>
          <t>Security, Fire &amp; Rescue, Medical Response</t>
        </is>
      </c>
    </row>
    <row r="13" ht="15.6" customHeight="1">
      <c r="A13" s="13" t="inlineStr">
        <is>
          <t>H1</t>
        </is>
      </c>
      <c r="B13" s="13" t="inlineStr">
        <is>
          <t>Horizon 1 – Go-live readiness and close the gaps (months 0–6)</t>
        </is>
      </c>
    </row>
    <row r="14" ht="15.6" customHeight="1">
      <c r="A14" s="13" t="inlineStr">
        <is>
          <t>H2</t>
        </is>
      </c>
      <c r="B14" s="13" t="inlineStr">
        <is>
          <t>Horizon 2 – Scale, intelligence and experience (months 6–18)</t>
        </is>
      </c>
    </row>
    <row r="15" ht="15.6" customHeight="1">
      <c r="A15" s="13" t="inlineStr">
        <is>
          <t>H3</t>
        </is>
      </c>
      <c r="B15" s="13" t="inlineStr">
        <is>
          <t>Horizon 3 – Ecosystem and industry-leading OH platform (months 18–36)</t>
        </is>
      </c>
    </row>
    <row r="16" ht="15.6" customHeight="1">
      <c r="A16" s="13" t="inlineStr">
        <is>
          <t>P1 / P2 / P3</t>
        </is>
      </c>
      <c r="B16" s="13" t="inlineStr">
        <is>
          <t>Backlog priority: P1 critical, P2 important, P3 desirable</t>
        </is>
      </c>
    </row>
    <row r="17" ht="15.6" customHeight="1">
      <c r="A17" s="13" t="inlineStr">
        <is>
          <t>ISO45001</t>
        </is>
      </c>
      <c r="B17" s="13" t="inlineStr">
        <is>
          <t>ISO 45001:2018 – OH&amp;S management systems</t>
        </is>
      </c>
    </row>
    <row r="18" ht="15.6" customHeight="1">
      <c r="A18" s="13" t="inlineStr">
        <is>
          <t>ISO45003</t>
        </is>
      </c>
      <c r="B18" s="13" t="inlineStr">
        <is>
          <t>ISO 45003:2021 – psychological health &amp; safety / psychosocial risk</t>
        </is>
      </c>
    </row>
    <row r="19" ht="15.6" customHeight="1">
      <c r="A19" s="13" t="inlineStr">
        <is>
          <t>ISO27001</t>
        </is>
      </c>
      <c r="B19" s="13" t="inlineStr">
        <is>
          <t>ISO/IEC 27001:2022 – information security management, Annex A</t>
        </is>
      </c>
    </row>
    <row r="20" ht="15.6" customHeight="1">
      <c r="A20" s="13" t="inlineStr">
        <is>
          <t>ISO27017</t>
        </is>
      </c>
      <c r="B20" s="13" t="inlineStr">
        <is>
          <t>ISO/IEC 27017 – information security controls for cloud services (tenant segregation)</t>
        </is>
      </c>
    </row>
    <row r="21" ht="15.6" customHeight="1">
      <c r="A21" s="13" t="inlineStr">
        <is>
          <t>ISO27701</t>
        </is>
      </c>
      <c r="B21" s="13" t="inlineStr">
        <is>
          <t>ISO/IEC 27701 – privacy information management</t>
        </is>
      </c>
    </row>
    <row r="22" ht="15.6" customHeight="1">
      <c r="A22" s="13" t="inlineStr">
        <is>
          <t>ISO22301</t>
        </is>
      </c>
      <c r="B22" s="13" t="inlineStr">
        <is>
          <t>ISO 22301 – business continuity management</t>
        </is>
      </c>
    </row>
    <row r="23" ht="15.6" customHeight="1">
      <c r="A23" s="13" t="inlineStr">
        <is>
          <t>ISO20889</t>
        </is>
      </c>
      <c r="B23" s="13" t="inlineStr">
        <is>
          <t>ISO/IEC 20889 – privacy-enhancing data de-identification techniques</t>
        </is>
      </c>
    </row>
    <row r="24" ht="15.6" customHeight="1">
      <c r="A24" s="13" t="inlineStr">
        <is>
          <t>ISO25012</t>
        </is>
      </c>
      <c r="B24" s="13" t="inlineStr">
        <is>
          <t>ISO/IEC 25012 – data quality model</t>
        </is>
      </c>
    </row>
    <row r="25" ht="15.6" customHeight="1">
      <c r="A25" s="13" t="inlineStr">
        <is>
          <t>ISO42001</t>
        </is>
      </c>
      <c r="B25" s="13" t="inlineStr">
        <is>
          <t>ISO/IEC 42001 – AI management system</t>
        </is>
      </c>
    </row>
    <row r="26" ht="15.6" customHeight="1">
      <c r="A26" s="13" t="inlineStr">
        <is>
          <t>ISO23894</t>
        </is>
      </c>
      <c r="B26" s="13" t="inlineStr">
        <is>
          <t>ISO/IEC 23894 – AI risk management</t>
        </is>
      </c>
    </row>
    <row r="27" ht="15.6" customHeight="1">
      <c r="A27" s="13" t="inlineStr">
        <is>
          <t>NIST-AI-RMF</t>
        </is>
      </c>
      <c r="B27" s="13" t="inlineStr">
        <is>
          <t>NIST AI Risk Management Framework 1.0</t>
        </is>
      </c>
    </row>
    <row r="28" ht="15.6" customHeight="1">
      <c r="A28" s="13" t="inlineStr">
        <is>
          <t>EU-AI-ACT</t>
        </is>
      </c>
      <c r="B28" s="13" t="inlineStr">
        <is>
          <t>Reg (EU) 2024/1689 (AI Act) – used as benchmark for risk classification, human oversight and transparency; local AI regulation applies</t>
        </is>
      </c>
    </row>
    <row r="29" ht="15.6" customHeight="1">
      <c r="A29" s="13" t="inlineStr">
        <is>
          <t>DCB0129</t>
        </is>
      </c>
      <c r="B29" s="13" t="inlineStr">
        <is>
          <t>DCB0129 / DCB0160 – clinical risk management for health IT manufacture and deployment (UK standards, used as benchmark)</t>
        </is>
      </c>
    </row>
    <row r="30" ht="15.6" customHeight="1">
      <c r="A30" s="13" t="inlineStr">
        <is>
          <t>SOC2</t>
        </is>
      </c>
      <c r="B30" s="13" t="inlineStr">
        <is>
          <t>AICPA Trust Services Criteria – CC (security), A (availability), C (confidentiality), PI, P</t>
        </is>
      </c>
    </row>
    <row r="31" ht="15.6" customHeight="1">
      <c r="A31" s="13" t="inlineStr">
        <is>
          <t>SRE</t>
        </is>
      </c>
      <c r="B31" s="13" t="inlineStr">
        <is>
          <t>Site reliability engineering practice – service-level objectives, error budgets, burn-rate alerting</t>
        </is>
      </c>
    </row>
    <row r="32" ht="15.6" customHeight="1">
      <c r="A32" s="13" t="inlineStr">
        <is>
          <t>CIS-K8S</t>
        </is>
      </c>
      <c r="B32" s="13" t="inlineStr">
        <is>
          <t>CIS Kubernetes / AKS benchmarks</t>
        </is>
      </c>
    </row>
    <row r="33" ht="15.6" customHeight="1">
      <c r="A33" s="13" t="inlineStr">
        <is>
          <t>NIST-SSDF</t>
        </is>
      </c>
      <c r="B33" s="13" t="inlineStr">
        <is>
          <t>NIST SP 800-218 Secure Software Development Framework</t>
        </is>
      </c>
    </row>
    <row r="34" ht="15.6" customHeight="1">
      <c r="A34" s="13" t="inlineStr">
        <is>
          <t>SLSA</t>
        </is>
      </c>
      <c r="B34" s="13" t="inlineStr">
        <is>
          <t>Supply-chain Levels for Software Artifacts – build provenance</t>
        </is>
      </c>
    </row>
    <row r="35" ht="15.6" customHeight="1">
      <c r="A35" s="13" t="inlineStr">
        <is>
          <t>OWASP-MASVS</t>
        </is>
      </c>
      <c r="B35" s="13" t="inlineStr">
        <is>
          <t>OWASP Mobile Application Security Verification Standard v2</t>
        </is>
      </c>
    </row>
    <row r="36" ht="15.6" customHeight="1">
      <c r="A36" s="13" t="inlineStr">
        <is>
          <t>WCAG22</t>
        </is>
      </c>
      <c r="B36" s="13" t="inlineStr">
        <is>
          <t>W3C Web Content Accessibility Guidelines 2.2, level AA</t>
        </is>
      </c>
    </row>
    <row r="37" ht="15.6" customHeight="1">
      <c r="A37" s="13" t="inlineStr">
        <is>
          <t>EN301549</t>
        </is>
      </c>
      <c r="B37" s="13" t="inlineStr">
        <is>
          <t>EN 301 549 – accessibility requirements for ICT products and services</t>
        </is>
      </c>
    </row>
    <row r="38" ht="15.6" customHeight="1">
      <c r="A38" s="13" t="inlineStr">
        <is>
          <t>PDF-UA</t>
        </is>
      </c>
      <c r="B38" s="13" t="inlineStr">
        <is>
          <t>ISO 14289 – accessible PDF</t>
        </is>
      </c>
    </row>
    <row r="39" ht="15.6" customHeight="1">
      <c r="A39" s="13" t="inlineStr">
        <is>
          <t>HL7-FHIR</t>
        </is>
      </c>
      <c r="B39" s="13" t="inlineStr">
        <is>
          <t>HL7 FHIR R4 / R4B / R5 incl. subscriptions; SMART App Launch</t>
        </is>
      </c>
    </row>
    <row r="40" ht="15.6" customHeight="1">
      <c r="A40" s="13" t="inlineStr">
        <is>
          <t>HL7-ODH</t>
        </is>
      </c>
      <c r="B40" s="13" t="inlineStr">
        <is>
          <t>HL7 FHIR Occupational Data for Health (ODH) IG</t>
        </is>
      </c>
    </row>
    <row r="41" ht="15.6" customHeight="1">
      <c r="A41" s="13" t="inlineStr">
        <is>
          <t>HL7-V2</t>
        </is>
      </c>
      <c r="B41" s="13" t="inlineStr">
        <is>
          <t>HL7 version 2.5.1 messaging (ORU, ORM, ADT)</t>
        </is>
      </c>
    </row>
    <row r="42" ht="15.6" customHeight="1">
      <c r="A42" s="13" t="inlineStr">
        <is>
          <t>IHE</t>
        </is>
      </c>
      <c r="B42" s="13" t="inlineStr">
        <is>
          <t>IHE IT Infrastructure profiles – MHD, XDS.b, PIXm, PDQm, ATNA, IUA</t>
        </is>
      </c>
    </row>
    <row r="43" ht="15.6" customHeight="1">
      <c r="A43" s="13" t="inlineStr">
        <is>
          <t>SNOMED-ICD</t>
        </is>
      </c>
      <c r="B43" s="13" t="inlineStr">
        <is>
          <t>SNOMED CT / ICD-10 or ICD-11 / LOINC – clinical, diagnosis and lab coding</t>
        </is>
      </c>
    </row>
    <row r="44" ht="15.6" customHeight="1">
      <c r="A44" s="13" t="inlineStr">
        <is>
          <t>EASA-MED</t>
        </is>
      </c>
      <c r="B44" s="13" t="inlineStr">
        <is>
          <t>EASA Part-MED (Reg (EU) 1178/2011 Annex IV) – pilot medical certificates, cabin crew medical reports</t>
        </is>
      </c>
    </row>
    <row r="45" ht="15.6" customHeight="1">
      <c r="A45" s="13" t="inlineStr">
        <is>
          <t>ICAO-A1</t>
        </is>
      </c>
      <c r="B45" s="13" t="inlineStr">
        <is>
          <t>ICAO Annex 1 Ch. 6 – medical provisions for licensing</t>
        </is>
      </c>
    </row>
    <row r="46" ht="15.6" customHeight="1">
      <c r="A46" s="13" t="inlineStr">
        <is>
          <t>ICAO-A6</t>
        </is>
      </c>
      <c r="B46" s="13" t="inlineStr">
        <is>
          <t>ICAO Annex 6 – operator responsibilities incl. fatigue management (FRMS); ICAO Doc 9966 FRMS manual</t>
        </is>
      </c>
    </row>
    <row r="47" ht="15.6" customHeight="1">
      <c r="A47" s="13" t="inlineStr">
        <is>
          <t>ICAO-8984</t>
        </is>
      </c>
      <c r="B47" s="13" t="inlineStr">
        <is>
          <t>ICAO Doc 8984 – Manual of Civil Aviation Medicine</t>
        </is>
      </c>
    </row>
    <row r="48" ht="15.6" customHeight="1">
      <c r="A48" s="13" t="inlineStr">
        <is>
          <t>IOSA</t>
        </is>
      </c>
      <c r="B48" s="13" t="inlineStr">
        <is>
          <t>IATA Operational Safety Audit – crew fitness and SMS standards</t>
        </is>
      </c>
    </row>
    <row r="49" ht="15.6" customHeight="1">
      <c r="A49" s="13" t="inlineStr">
        <is>
          <t>ILO-C161</t>
        </is>
      </c>
      <c r="B49" s="13" t="inlineStr">
        <is>
          <t>ILO Convention C161 – occupational health services</t>
        </is>
      </c>
    </row>
    <row r="50" ht="15.6" customHeight="1">
      <c r="A50" s="13" t="inlineStr">
        <is>
          <t>WHO-IHR</t>
        </is>
      </c>
      <c r="B50" s="13" t="inlineStr">
        <is>
          <t>WHO International Health Regulations – preparedness and reporting</t>
        </is>
      </c>
    </row>
    <row r="51" ht="15.6" customHeight="1">
      <c r="A51" s="13" t="inlineStr">
        <is>
          <t>HIMSS</t>
        </is>
      </c>
      <c r="B51" s="13" t="inlineStr">
        <is>
          <t>HIMSS Digital Health Indicator (incl. interoperability, person-enabled health, predictive analytics)</t>
        </is>
      </c>
    </row>
    <row r="52" ht="15.6" customHeight="1">
      <c r="A52" s="13" t="inlineStr">
        <is>
          <t>LOCAL-OHS</t>
        </is>
      </c>
      <c r="B52" s="13" t="inlineStr">
        <is>
          <t>Local labour law, national OH&amp;S regulation and civil aviation authority medical requirements (e.g. UK CAA, UAE GCAA)</t>
        </is>
      </c>
    </row>
    <row r="53" ht="15.6" customHeight="1">
      <c r="A53" s="13" t="inlineStr">
        <is>
          <t>LOCAL-PDP</t>
        </is>
      </c>
      <c r="B53" s="13" t="inlineStr">
        <is>
          <t>Local personal-data-protection law + GDPR Art. 9 (special-category health data) as benchmark</t>
        </is>
      </c>
    </row>
    <row r="54" ht="15.6" customHeight="1">
      <c r="A54" s="13" t="inlineStr">
        <is>
          <t>Type: Story</t>
        </is>
      </c>
      <c r="B54" s="13" t="inlineStr">
        <is>
          <t>User-facing functionality expressed as a user story</t>
        </is>
      </c>
    </row>
    <row r="55" ht="15.6" customHeight="1">
      <c r="A55" s="13" t="inlineStr">
        <is>
          <t>Type: Enabler</t>
        </is>
      </c>
      <c r="B55" s="13" t="inlineStr">
        <is>
          <t>Architectural / technical foundation work</t>
        </is>
      </c>
    </row>
    <row r="56" ht="15.6" customHeight="1">
      <c r="A56" s="13" t="inlineStr">
        <is>
          <t>Type: Task</t>
        </is>
      </c>
      <c r="B56" s="13" t="inlineStr">
        <is>
          <t>Non-development work (content, configuration, governance, training, procurement)</t>
        </is>
      </c>
    </row>
    <row r="57" ht="15.6" customHeight="1">
      <c r="A57" s="13" t="inlineStr">
        <is>
          <t>Type: Spike</t>
        </is>
      </c>
      <c r="B57" s="13" t="inlineStr">
        <is>
          <t>Time-boxed investigation to remove uncertainty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WellnessZ Product &amp; Architecture</dc:creator>
  <dc:title xmlns:dc="http://purl.org/dc/elements/1.1/">E27 – Predictive Health &amp; Absence Analytics (governed)</dc:title>
  <dc:subject xmlns:dc="http://purl.org/dc/elements/1.1/">WellnessZ OHCM – strategy epic workbook</dc:subject>
  <dcterms:created xmlns:dcterms="http://purl.org/dc/terms/" xmlns:xsi="http://www.w3.org/2001/XMLSchema-instance" xsi:type="dcterms:W3CDTF">2026-10-30T13:11:13Z</dcterms:created>
  <dcterms:modified xmlns:dcterms="http://purl.org/dc/terms/" xmlns:xsi="http://www.w3.org/2001/XMLSchema-instance" xsi:type="dcterms:W3CDTF">2026-10-30T13:11:13Z</dcterms:modified>
</cp:coreProperties>
</file>