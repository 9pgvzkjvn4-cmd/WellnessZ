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Horizon roadmap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apacity plan" sheetId="4" state="visible" r:id="rId4"/>
    <sheet xmlns:r="http://schemas.openxmlformats.org/officeDocument/2006/relationships" name="KPI tree" sheetId="5" state="visible" r:id="rId5"/>
  </sheets>
  <definedNames>
    <definedName name="_xlnm._FilterDatabase" localSheetId="0" hidden="1">'Catalogue'!$A$4:$N$35</definedName>
    <definedName name="_xlnm.Print_Titles" localSheetId="0">'Catalogue'!$4:$4</definedName>
    <definedName name="_xlnm.Print_Titles" localSheetId="1">'Horizon roadmap'!$4:$4</definedName>
    <definedName name="_xlnm._FilterDatabase" localSheetId="2" hidden="1">'Dependencies'!$A$4:$F$41</definedName>
    <definedName name="_xlnm.Print_Titles" localSheetId="2">'Dependencies'!$4:$4</definedName>
    <definedName name="_xlnm.Print_Titles" localSheetId="3">'Capacity plan'!$4:$4</definedName>
    <definedName name="_xlnm.Print_Titles" localSheetId="4">'KPI tree'!$4:$4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FF404040"/>
      <sz val="9"/>
    </font>
    <font>
      <name val="Arial"/>
      <b val="1"/>
      <color rgb="FF000000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  <col width="22" customWidth="1" min="5" max="5"/>
    <col width="9" customWidth="1" min="6" max="6"/>
    <col width="11" customWidth="1" min="7" max="7"/>
    <col width="10" customWidth="1" min="8" max="8"/>
    <col width="9" customWidth="1" min="9" max="9"/>
    <col width="62" customWidth="1" min="10" max="10"/>
    <col width="22" customWidth="1" min="11" max="11"/>
    <col width="24" customWidth="1" min="12" max="12"/>
    <col width="11" customWidth="1" min="13" max="13"/>
    <col width="34" customWidth="1" min="14" max="14"/>
  </cols>
  <sheetData>
    <row r="1" ht="17.35" customHeight="1">
      <c r="A1" s="1" t="inlineStr">
        <is>
          <t>Epic catalogue E01–E31</t>
        </is>
      </c>
    </row>
    <row r="2" ht="15" customHeight="1">
      <c r="A2" s="2" t="inlineStr">
        <is>
          <t>All client epics, the security epic (renumbered E19) and the proposed strategy epics E20–E31 with status and evidence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4" t="inlineStr">
        <is>
          <t>Epic</t>
        </is>
      </c>
      <c r="B4" s="4" t="inlineStr">
        <is>
          <t>Name</t>
        </is>
      </c>
      <c r="C4" s="4" t="inlineStr">
        <is>
          <t>Category</t>
        </is>
      </c>
      <c r="D4" s="4" t="inlineStr">
        <is>
          <t>Status</t>
        </is>
      </c>
      <c r="E4" s="4" t="inlineStr">
        <is>
          <t>Delivered by / horizon</t>
        </is>
      </c>
      <c r="F4" s="4" t="inlineStr">
        <is>
          <t>Items traced</t>
        </is>
      </c>
      <c r="G4" s="4" t="inlineStr">
        <is>
          <t>Implemented</t>
        </is>
      </c>
      <c r="H4" s="4" t="inlineStr">
        <is>
          <t>Sign-off pending</t>
        </is>
      </c>
      <c r="I4" s="4" t="inlineStr">
        <is>
          <t>Partial</t>
        </is>
      </c>
      <c r="J4" s="4" t="inlineStr">
        <is>
          <t>Evidence, gaps and goal</t>
        </is>
      </c>
      <c r="K4" s="4" t="inlineStr">
        <is>
          <t>Completion / delivery horizon</t>
        </is>
      </c>
      <c r="L4" s="4" t="inlineStr">
        <is>
          <t>Team</t>
        </is>
      </c>
      <c r="M4" s="4" t="inlineStr">
        <is>
          <t>Indicative SP</t>
        </is>
      </c>
      <c r="N4" s="4" t="inlineStr">
        <is>
          <t>Workbook</t>
        </is>
      </c>
    </row>
    <row r="5" ht="40.8" customHeight="1">
      <c r="A5" s="5" t="inlineStr">
        <is>
          <t>E01</t>
        </is>
      </c>
      <c r="B5" s="6" t="inlineStr">
        <is>
          <t>Case Intake &amp; Incident-Triggered Case Initiation</t>
        </is>
      </c>
      <c r="C5" s="6" t="inlineStr">
        <is>
          <t>Business module</t>
        </is>
      </c>
      <c r="D5" s="7" t="inlineStr">
        <is>
          <t>Done</t>
        </is>
      </c>
      <c r="E5" s="6" t="inlineStr">
        <is>
          <t>Increment 1</t>
        </is>
      </c>
      <c r="F5" s="8" t="n">
        <v>42</v>
      </c>
      <c r="G5" s="8" t="n">
        <v>26</v>
      </c>
      <c r="H5" s="8" t="n">
        <v>0</v>
      </c>
      <c r="I5" s="8" t="n">
        <v>16</v>
      </c>
      <c r="J5" s="6" t="inlineStr">
        <is>
          <t>Module wz-e01-intake. Partial items: SMS / push channels, offline walk-in, export; triage and recordability content awaiting CMO / HSE sign-off.</t>
        </is>
      </c>
      <c r="K5" s="6" t="inlineStr">
        <is>
          <t>H1 (sign-offs, E15 feeds)</t>
        </is>
      </c>
      <c r="L5" s="6" t="inlineStr">
        <is>
          <t>T1 Clinical Care</t>
        </is>
      </c>
      <c r="M5" s="8" t="n"/>
      <c r="N5" s="6" t="inlineStr">
        <is>
          <t>Client workbook (scratchpad req*/)</t>
        </is>
      </c>
    </row>
    <row r="6" ht="40.8" customHeight="1">
      <c r="A6" s="5" t="inlineStr">
        <is>
          <t>E02</t>
        </is>
      </c>
      <c r="B6" s="6" t="inlineStr">
        <is>
          <t>Clinical Triage, Risk Stratification &amp; Case Assignment</t>
        </is>
      </c>
      <c r="C6" s="6" t="inlineStr">
        <is>
          <t>Business module</t>
        </is>
      </c>
      <c r="D6" s="7" t="inlineStr">
        <is>
          <t>Done</t>
        </is>
      </c>
      <c r="E6" s="6" t="inlineStr">
        <is>
          <t>Increment 1</t>
        </is>
      </c>
      <c r="F6" s="8" t="n">
        <v>32</v>
      </c>
      <c r="G6" s="8" t="n">
        <v>26</v>
      </c>
      <c r="H6" s="8" t="n">
        <v>0</v>
      </c>
      <c r="I6" s="8" t="n">
        <v>6</v>
      </c>
      <c r="J6" s="6" t="inlineStr">
        <is>
          <t>Module wz-e02-triage. 13 triage protocols DRAFT (CREW_FATIGUE and BODY_FLUID without red-flag question); SLA in elapsed minutes until the E18 business calendar exists.</t>
        </is>
      </c>
      <c r="K6" s="6" t="inlineStr">
        <is>
          <t>H1 (sign-offs, E18 calendar)</t>
        </is>
      </c>
      <c r="L6" s="6" t="inlineStr">
        <is>
          <t>T1 Clinical Care</t>
        </is>
      </c>
      <c r="M6" s="8" t="n"/>
      <c r="N6" s="6" t="inlineStr">
        <is>
          <t>Client workbook (scratchpad req*/)</t>
        </is>
      </c>
    </row>
    <row r="7" ht="40.8" customHeight="1">
      <c r="A7" s="5" t="inlineStr">
        <is>
          <t>E03</t>
        </is>
      </c>
      <c r="B7" s="6" t="inlineStr">
        <is>
          <t>Occupational Health Record &amp; Clinical Encounter Documentation</t>
        </is>
      </c>
      <c r="C7" s="6" t="inlineStr">
        <is>
          <t>Business module</t>
        </is>
      </c>
      <c r="D7" s="7" t="inlineStr">
        <is>
          <t>Done</t>
        </is>
      </c>
      <c r="E7" s="6" t="inlineStr">
        <is>
          <t>Increment 2</t>
        </is>
      </c>
      <c r="F7" s="8" t="n">
        <v>38</v>
      </c>
      <c r="G7" s="8" t="n">
        <v>21</v>
      </c>
      <c r="H7" s="8" t="n">
        <v>0</v>
      </c>
      <c r="I7" s="8" t="n">
        <v>17</v>
      </c>
      <c r="J7" s="6" t="inlineStr">
        <is>
          <t>Module wz-e03-record. Partial: OCR of image-only scans, device drivers, terminology server and licences, assistant provider (extension point only, no provider).</t>
        </is>
      </c>
      <c r="K7" s="6" t="inlineStr">
        <is>
          <t>H1 sign-offs; H2 via E23 / E28</t>
        </is>
      </c>
      <c r="L7" s="6" t="inlineStr">
        <is>
          <t>T1 Clinical Care</t>
        </is>
      </c>
      <c r="M7" s="8" t="n"/>
      <c r="N7" s="6" t="inlineStr">
        <is>
          <t>Client workbook (scratchpad req*/)</t>
        </is>
      </c>
    </row>
    <row r="8" ht="40.8" customHeight="1">
      <c r="A8" s="5" t="inlineStr">
        <is>
          <t>E04</t>
        </is>
      </c>
      <c r="B8" s="6" t="inlineStr">
        <is>
          <t>Injury &amp; Illness Management, Treatment Coordination &amp; Partner Referrals</t>
        </is>
      </c>
      <c r="C8" s="6" t="inlineStr">
        <is>
          <t>Business module</t>
        </is>
      </c>
      <c r="D8" s="7" t="inlineStr">
        <is>
          <t>Done</t>
        </is>
      </c>
      <c r="E8" s="6" t="inlineStr">
        <is>
          <t>Increment 4</t>
        </is>
      </c>
      <c r="F8" s="8" t="n">
        <v>33</v>
      </c>
      <c r="G8" s="8" t="n">
        <v>24</v>
      </c>
      <c r="H8" s="8" t="n">
        <v>0</v>
      </c>
      <c r="I8" s="8" t="n">
        <v>9</v>
      </c>
      <c r="J8" s="6" t="inlineStr">
        <is>
          <t>Module wz-e04-treatment. FHIR exchange tested with a simulated partner only; telehealth video not procured; e-prescribing no-op pending decision memo.</t>
        </is>
      </c>
      <c r="K8" s="6" t="inlineStr">
        <is>
          <t>H1 (E15 connectors, D15, D19)</t>
        </is>
      </c>
      <c r="L8" s="6" t="inlineStr">
        <is>
          <t>T1 Clinical Care</t>
        </is>
      </c>
      <c r="M8" s="8" t="n"/>
      <c r="N8" s="6" t="inlineStr">
        <is>
          <t>Client workbook (scratchpad req*/)</t>
        </is>
      </c>
    </row>
    <row r="9" ht="40.8" customHeight="1">
      <c r="A9" s="5" t="inlineStr">
        <is>
          <t>E05</t>
        </is>
      </c>
      <c r="B9" s="6" t="inlineStr">
        <is>
          <t>Fitness for Duty, Work Restrictions &amp; Return-to-Work</t>
        </is>
      </c>
      <c r="C9" s="6" t="inlineStr">
        <is>
          <t>Business module</t>
        </is>
      </c>
      <c r="D9" s="7" t="inlineStr">
        <is>
          <t>Done</t>
        </is>
      </c>
      <c r="E9" s="6" t="inlineStr">
        <is>
          <t>Increment 2</t>
        </is>
      </c>
      <c r="F9" s="8" t="n">
        <v>35</v>
      </c>
      <c r="G9" s="8" t="n">
        <v>28</v>
      </c>
      <c r="H9" s="8" t="n">
        <v>0</v>
      </c>
      <c r="I9" s="8" t="n">
        <v>6</v>
      </c>
      <c r="J9" s="6" t="inlineStr">
        <is>
          <t>Module wz-e05-fitness. 12 fitness standards and 28 of 150 job-demand profiles await validation; rostering transport not built; RTW training deferred.</t>
        </is>
      </c>
      <c r="K9" s="6" t="inlineStr">
        <is>
          <t>H1 (sign-offs, rostering transport)</t>
        </is>
      </c>
      <c r="L9" s="6" t="inlineStr">
        <is>
          <t>T1 Clinical Care</t>
        </is>
      </c>
      <c r="M9" s="8" t="n"/>
      <c r="N9" s="6" t="inlineStr">
        <is>
          <t>Client workbook (scratchpad req*/)</t>
        </is>
      </c>
    </row>
    <row r="10" ht="28.2" customHeight="1">
      <c r="A10" s="5" t="inlineStr">
        <is>
          <t>E06</t>
        </is>
      </c>
      <c r="B10" s="6" t="inlineStr">
        <is>
          <t>Absence &amp; Sickness Management</t>
        </is>
      </c>
      <c r="C10" s="6" t="inlineStr">
        <is>
          <t>Business module</t>
        </is>
      </c>
      <c r="D10" s="7" t="inlineStr">
        <is>
          <t>Done</t>
        </is>
      </c>
      <c r="E10" s="6" t="inlineStr">
        <is>
          <t>Increment 3</t>
        </is>
      </c>
      <c r="F10" s="8" t="n">
        <v>26</v>
      </c>
      <c r="G10" s="8" t="n">
        <v>20</v>
      </c>
      <c r="H10" s="8" t="n">
        <v>0</v>
      </c>
      <c r="I10" s="8" t="n">
        <v>6</v>
      </c>
      <c r="J10" s="6" t="inlineStr">
        <is>
          <t>Module wz-e06-absence. AbsenceFeedConnector is a no-op (push endpoint ready); HRIS / time &amp; attendance / crew connectors outstanding.</t>
        </is>
      </c>
      <c r="K10" s="6" t="inlineStr">
        <is>
          <t>H1 (E15 connectors)</t>
        </is>
      </c>
      <c r="L10" s="6" t="inlineStr">
        <is>
          <t>T2 Workforce Health &amp; Prevention</t>
        </is>
      </c>
      <c r="M10" s="8" t="n"/>
      <c r="N10" s="6" t="inlineStr">
        <is>
          <t>Client workbook (scratchpad req*/)</t>
        </is>
      </c>
    </row>
    <row r="11" ht="28.2" customHeight="1">
      <c r="A11" s="5" t="inlineStr">
        <is>
          <t>E07</t>
        </is>
      </c>
      <c r="B11" s="6" t="inlineStr">
        <is>
          <t>Medical Surveillance, Periodic &amp; Statutory Medicals</t>
        </is>
      </c>
      <c r="C11" s="6" t="inlineStr">
        <is>
          <t>Business module</t>
        </is>
      </c>
      <c r="D11" s="7" t="inlineStr">
        <is>
          <t>Done</t>
        </is>
      </c>
      <c r="E11" s="6" t="inlineStr">
        <is>
          <t>Increment 3</t>
        </is>
      </c>
      <c r="F11" s="8" t="n">
        <v>36</v>
      </c>
      <c r="G11" s="8" t="n">
        <v>31</v>
      </c>
      <c r="H11" s="8" t="n">
        <v>0</v>
      </c>
      <c r="I11" s="8" t="n">
        <v>5</v>
      </c>
      <c r="J11" s="6" t="inlineStr">
        <is>
          <t>Module wz-e07-surveillance. 13 programmes await CMO validation; CAA examination formats pending; bulk invitation not load-tested.</t>
        </is>
      </c>
      <c r="K11" s="6" t="inlineStr">
        <is>
          <t>H1 sign-offs; H2 via E24</t>
        </is>
      </c>
      <c r="L11" s="6" t="inlineStr">
        <is>
          <t>T2 Workforce Health &amp; Prevention</t>
        </is>
      </c>
      <c r="M11" s="8" t="n"/>
      <c r="N11" s="6" t="inlineStr">
        <is>
          <t>Client workbook (scratchpad req*/)</t>
        </is>
      </c>
    </row>
    <row r="12" ht="28.2" customHeight="1">
      <c r="A12" s="5" t="inlineStr">
        <is>
          <t>E08</t>
        </is>
      </c>
      <c r="B12" s="6" t="inlineStr">
        <is>
          <t>Workers' Compensation, Insurance &amp; Claims Coordination</t>
        </is>
      </c>
      <c r="C12" s="6" t="inlineStr">
        <is>
          <t>Business module</t>
        </is>
      </c>
      <c r="D12" s="7" t="inlineStr">
        <is>
          <t>Done</t>
        </is>
      </c>
      <c r="E12" s="6" t="inlineStr">
        <is>
          <t>Increment 4</t>
        </is>
      </c>
      <c r="F12" s="8" t="n">
        <v>24</v>
      </c>
      <c r="G12" s="8" t="n">
        <v>19</v>
      </c>
      <c r="H12" s="8" t="n">
        <v>0</v>
      </c>
      <c r="I12" s="8" t="n">
        <v>5</v>
      </c>
      <c r="J12" s="6" t="inlineStr">
        <is>
          <t>Module wz-e08-claims. Insurer / authority / ERP connectors default to outbox + content-free e-mail; report forms await Legal / HSE sign-off.</t>
        </is>
      </c>
      <c r="K12" s="6" t="inlineStr">
        <is>
          <t>H1 (E15 connectors, sign-offs)</t>
        </is>
      </c>
      <c r="L12" s="6" t="inlineStr">
        <is>
          <t>T1 Clinical Care</t>
        </is>
      </c>
      <c r="M12" s="8" t="n"/>
      <c r="N12" s="6" t="inlineStr">
        <is>
          <t>Client workbook (scratchpad req*/)</t>
        </is>
      </c>
    </row>
    <row r="13" ht="40.8" customHeight="1">
      <c r="A13" s="5" t="inlineStr">
        <is>
          <t>E09</t>
        </is>
      </c>
      <c r="B13" s="6" t="inlineStr">
        <is>
          <t>Mental Health, Psychosocial Risk &amp; Peer Support Programmes</t>
        </is>
      </c>
      <c r="C13" s="6" t="inlineStr">
        <is>
          <t>Business module</t>
        </is>
      </c>
      <c r="D13" s="7" t="inlineStr">
        <is>
          <t>Done</t>
        </is>
      </c>
      <c r="E13" s="6" t="inlineStr">
        <is>
          <t>Increment 5</t>
        </is>
      </c>
      <c r="F13" s="8" t="n">
        <v>27</v>
      </c>
      <c r="G13" s="8" t="n">
        <v>21</v>
      </c>
      <c r="H13" s="8" t="n">
        <v>5</v>
      </c>
      <c r="I13" s="8" t="n">
        <v>1</v>
      </c>
      <c r="J13" s="6" t="inlineStr">
        <is>
          <t>Module wz-e09-mentalhealth. Screening bands, urgent-risk protocol and signposting await sign-off; named-clinician seed (psych1) is a go-live item; EAP system API not connected.</t>
        </is>
      </c>
      <c r="K13" s="6" t="inlineStr">
        <is>
          <t>H1 (sign-offs, go-live item)</t>
        </is>
      </c>
      <c r="L13" s="6" t="inlineStr">
        <is>
          <t>T2 Workforce Health &amp; Prevention</t>
        </is>
      </c>
      <c r="M13" s="8" t="n"/>
      <c r="N13" s="6" t="inlineStr">
        <is>
          <t>Client workbook (scratchpad req*/)</t>
        </is>
      </c>
    </row>
    <row r="14" ht="40.8" customHeight="1">
      <c r="A14" s="5" t="inlineStr">
        <is>
          <t>E10</t>
        </is>
      </c>
      <c r="B14" s="6" t="inlineStr">
        <is>
          <t>Drug, Alcohol &amp; Psychoactive Substance Testing Programme</t>
        </is>
      </c>
      <c r="C14" s="6" t="inlineStr">
        <is>
          <t>Business module</t>
        </is>
      </c>
      <c r="D14" s="7" t="inlineStr">
        <is>
          <t>Done</t>
        </is>
      </c>
      <c r="E14" s="6" t="inlineStr">
        <is>
          <t>Increment 5</t>
        </is>
      </c>
      <c r="F14" s="8" t="n">
        <v>20</v>
      </c>
      <c r="G14" s="8" t="n">
        <v>14</v>
      </c>
      <c r="H14" s="8" t="n">
        <v>3</v>
      </c>
      <c r="I14" s="8" t="n">
        <v>3</v>
      </c>
      <c r="J14" s="6" t="inlineStr">
        <is>
          <t>Module wz-e10-substance. Toxicology LIMS simulated (bound client ready); policy matrix PENDING; MRO document access via /documents outstanding (SEC-E05).</t>
        </is>
      </c>
      <c r="K14" s="6" t="inlineStr">
        <is>
          <t>H1 (LIMS, MRO, sign-offs)</t>
        </is>
      </c>
      <c r="L14" s="6" t="inlineStr">
        <is>
          <t>T2 Workforce Health &amp; Prevention</t>
        </is>
      </c>
      <c r="M14" s="8" t="n"/>
      <c r="N14" s="6" t="inlineStr">
        <is>
          <t>Client workbook (scratchpad req*/)</t>
        </is>
      </c>
    </row>
    <row r="15" ht="40.8" customHeight="1">
      <c r="A15" s="5" t="inlineStr">
        <is>
          <t>E11</t>
        </is>
      </c>
      <c r="B15" s="6" t="inlineStr">
        <is>
          <t>Travel Health, Immunisation Campaigns &amp; Communicable Disease / Exposure Management</t>
        </is>
      </c>
      <c r="C15" s="6" t="inlineStr">
        <is>
          <t>Business module</t>
        </is>
      </c>
      <c r="D15" s="7" t="inlineStr">
        <is>
          <t>Done</t>
        </is>
      </c>
      <c r="E15" s="6" t="inlineStr">
        <is>
          <t>Increment 5</t>
        </is>
      </c>
      <c r="F15" s="8" t="n">
        <v>25</v>
      </c>
      <c r="G15" s="8" t="n">
        <v>17</v>
      </c>
      <c r="H15" s="8" t="n">
        <v>6</v>
      </c>
      <c r="I15" s="8" t="n">
        <v>2</v>
      </c>
      <c r="J15" s="6" t="inlineStr">
        <is>
          <t>Module wz-e11-travelhealth. Destination content source not licensed; protocol timers await sign-off; public-health authority submission by outbox + e-mail.</t>
        </is>
      </c>
      <c r="K15" s="6" t="inlineStr">
        <is>
          <t>H1 (sign-offs, authority connector)</t>
        </is>
      </c>
      <c r="L15" s="6" t="inlineStr">
        <is>
          <t>T2 Workforce Health &amp; Prevention</t>
        </is>
      </c>
      <c r="M15" s="8" t="n"/>
      <c r="N15" s="6" t="inlineStr">
        <is>
          <t>Client workbook (scratchpad req*/)</t>
        </is>
      </c>
    </row>
    <row r="16" ht="40.8" customHeight="1">
      <c r="A16" s="5" t="inlineStr">
        <is>
          <t>E12</t>
        </is>
      </c>
      <c r="B16" s="6" t="inlineStr">
        <is>
          <t>Health Promotion, Wellbeing &amp; Prevention Campaigns</t>
        </is>
      </c>
      <c r="C16" s="6" t="inlineStr">
        <is>
          <t>Business module</t>
        </is>
      </c>
      <c r="D16" s="7" t="inlineStr">
        <is>
          <t>Done</t>
        </is>
      </c>
      <c r="E16" s="6" t="inlineStr">
        <is>
          <t>Increment 5</t>
        </is>
      </c>
      <c r="F16" s="8" t="n">
        <v>18</v>
      </c>
      <c r="G16" s="8" t="n">
        <v>10</v>
      </c>
      <c r="H16" s="8" t="n">
        <v>2</v>
      </c>
      <c r="I16" s="8" t="n">
        <v>6</v>
      </c>
      <c r="J16" s="6" t="inlineStr">
        <is>
          <t>Module wz-e12-promotion. Campaign app and wearable aggregator simulated; no ROI metric; absence not an insight source; hearing / vision results not captured in E12.</t>
        </is>
      </c>
      <c r="K16" s="6" t="inlineStr">
        <is>
          <t>H1 connectors; H2 via E26</t>
        </is>
      </c>
      <c r="L16" s="6" t="inlineStr">
        <is>
          <t>T2 Workforce Health &amp; Prevention</t>
        </is>
      </c>
      <c r="M16" s="8" t="n"/>
      <c r="N16" s="6" t="inlineStr">
        <is>
          <t>Client workbook (scratchpad req*/)</t>
        </is>
      </c>
    </row>
    <row r="17" ht="40.8" customHeight="1">
      <c r="A17" s="5" t="inlineStr">
        <is>
          <t>E13</t>
        </is>
      </c>
      <c r="B17" s="6" t="inlineStr">
        <is>
          <t>Employee &amp; Manager Portal / App (self-service)</t>
        </is>
      </c>
      <c r="C17" s="6" t="inlineStr">
        <is>
          <t>Platform</t>
        </is>
      </c>
      <c r="D17" s="9" t="inlineStr">
        <is>
          <t>Partial</t>
        </is>
      </c>
      <c r="E17" s="6" t="inlineStr">
        <is>
          <t>Increment 0, extended in 1–5</t>
        </is>
      </c>
      <c r="F17" s="8" t="n"/>
      <c r="G17" s="8" t="n"/>
      <c r="H17" s="8" t="n"/>
      <c r="I17" s="8" t="n"/>
      <c r="J17" s="6" t="inlineStr">
        <is>
          <t>Employee / crew portal as web, PWA and Capacitor shell; manager workspace; partner portal. Gaps: secure-storage and MAM plug-ins (R6), no offline, no native NFC, no push, Arabic only on employee screens.</t>
        </is>
      </c>
      <c r="K17" s="6" t="inlineStr">
        <is>
          <t>H1 (store-ready) → E21 / E22</t>
        </is>
      </c>
      <c r="L17" s="6" t="inlineStr">
        <is>
          <t>T3 Experience &amp; Mobile</t>
        </is>
      </c>
      <c r="M17" s="8" t="n"/>
      <c r="N17" s="6" t="inlineStr">
        <is>
          <t>Client catalogue (no workbook in repository)</t>
        </is>
      </c>
    </row>
    <row r="18" ht="28.2" customHeight="1">
      <c r="A18" s="5" t="inlineStr">
        <is>
          <t>E14</t>
        </is>
      </c>
      <c r="B18" s="6" t="inlineStr">
        <is>
          <t>Scheduling, Clinic Operations &amp; Resource Management</t>
        </is>
      </c>
      <c r="C18" s="6" t="inlineStr">
        <is>
          <t>Business module</t>
        </is>
      </c>
      <c r="D18" s="7" t="inlineStr">
        <is>
          <t>Done</t>
        </is>
      </c>
      <c r="E18" s="6" t="inlineStr">
        <is>
          <t>Increment 3</t>
        </is>
      </c>
      <c r="F18" s="8" t="n">
        <v>20</v>
      </c>
      <c r="G18" s="8" t="n">
        <v>18</v>
      </c>
      <c r="H18" s="8" t="n">
        <v>0</v>
      </c>
      <c r="I18" s="8" t="n">
        <v>2</v>
      </c>
      <c r="J18" s="6" t="inlineStr">
        <is>
          <t>Module wz-e14-scheduling. IoT cold-chain gateway and telehealth video not connected; campaign booking and capacity not load-tested.</t>
        </is>
      </c>
      <c r="K18" s="6" t="inlineStr">
        <is>
          <t>H1 (D15, D16, load test)</t>
        </is>
      </c>
      <c r="L18" s="6" t="inlineStr">
        <is>
          <t>T2 Workforce Health &amp; Prevention</t>
        </is>
      </c>
      <c r="M18" s="8" t="n"/>
      <c r="N18" s="6" t="inlineStr">
        <is>
          <t>Client workbook (scratchpad req*/)</t>
        </is>
      </c>
    </row>
    <row r="19" ht="53.4" customHeight="1">
      <c r="A19" s="5" t="inlineStr">
        <is>
          <t>E15</t>
        </is>
      </c>
      <c r="B19" s="6" t="inlineStr">
        <is>
          <t>Integration &amp; API Gateway</t>
        </is>
      </c>
      <c r="C19" s="6" t="inlineStr">
        <is>
          <t>Platform</t>
        </is>
      </c>
      <c r="D19" s="9" t="inlineStr">
        <is>
          <t>Partial</t>
        </is>
      </c>
      <c r="E19" s="6" t="inlineStr">
        <is>
          <t>Increment 0, extended in 1–5</t>
        </is>
      </c>
      <c r="F19" s="8" t="n"/>
      <c r="G19" s="8" t="n"/>
      <c r="H19" s="8" t="n"/>
      <c r="I19" s="8" t="n"/>
      <c r="J19" s="6" t="inlineStr">
        <is>
          <t>Outbox, idempotency, FHIR R4 / HL7 v2 inbound, outbound allow-list. Gaps: production broker adapter (D3) and real connectors – HRIS, rostering, EHS transport, LIMS, insurer / TPA, authority, ERP, EAP, campaign app, wearables, public-health authority, SMS.</t>
        </is>
      </c>
      <c r="K19" s="6" t="inlineStr">
        <is>
          <t>H1 (production grade)</t>
        </is>
      </c>
      <c r="L19" s="6" t="inlineStr">
        <is>
          <t>T4 Integration &amp; Interoperability</t>
        </is>
      </c>
      <c r="M19" s="8" t="n"/>
      <c r="N19" s="6" t="inlineStr">
        <is>
          <t>Client catalogue (no workbook in repository)</t>
        </is>
      </c>
    </row>
    <row r="20" ht="53.4" customHeight="1">
      <c r="A20" s="5" t="inlineStr">
        <is>
          <t>E16</t>
        </is>
      </c>
      <c r="B20" s="6" t="inlineStr">
        <is>
          <t>Identity, Access, Consent &amp; Audit</t>
        </is>
      </c>
      <c r="C20" s="6" t="inlineStr">
        <is>
          <t>Platform</t>
        </is>
      </c>
      <c r="D20" s="9" t="inlineStr">
        <is>
          <t>Partial</t>
        </is>
      </c>
      <c r="E20" s="6" t="inlineStr">
        <is>
          <t>Increment 0, extended in 1–5</t>
        </is>
      </c>
      <c r="F20" s="8" t="n"/>
      <c r="G20" s="8" t="n"/>
      <c r="H20" s="8" t="n"/>
      <c r="I20" s="8" t="n"/>
      <c r="J20" s="6" t="inlineStr">
        <is>
          <t>Multi-issuer OIDC, ABAC, consent, hash-chained audit, MFA gate, restricted classes. Gaps: MFA enrolment in PROD IdP, envelope encryption + re-encryption job (D5), audit anchoring (O2), automatic deletion of OH records (D6).</t>
        </is>
      </c>
      <c r="K20" s="6" t="inlineStr">
        <is>
          <t>H1 (production grade)</t>
        </is>
      </c>
      <c r="L20" s="6" t="inlineStr">
        <is>
          <t>T5 Platform &amp; SRE</t>
        </is>
      </c>
      <c r="M20" s="8" t="n"/>
      <c r="N20" s="6" t="inlineStr">
        <is>
          <t>Client catalogue (no workbook in repository)</t>
        </is>
      </c>
    </row>
    <row r="21" ht="53.4" customHeight="1">
      <c r="A21" s="5" t="inlineStr">
        <is>
          <t>E17</t>
        </is>
      </c>
      <c r="B21" s="6" t="inlineStr">
        <is>
          <t>Analytics &amp; Reporting (de-identified)</t>
        </is>
      </c>
      <c r="C21" s="6" t="inlineStr">
        <is>
          <t>Platform</t>
        </is>
      </c>
      <c r="D21" s="9" t="inlineStr">
        <is>
          <t>Partial</t>
        </is>
      </c>
      <c r="E21" s="6" t="inlineStr">
        <is>
          <t>Increment 0, extended in 1–5</t>
        </is>
      </c>
      <c r="F21" s="8" t="n"/>
      <c r="G21" s="8" t="n"/>
      <c r="H21" s="8" t="n"/>
      <c r="I21" s="8" t="n"/>
      <c r="J21" s="6" t="inlineStr">
        <is>
          <t>De-identified view, KPI API with k = 5 suppression, per-module suppressed reports. Gaps: warehouse feed, read-only reporting role (O7), several client KPIs not computed (RTW within 5 days, documentation time, ROI, litigated-claim trend).</t>
        </is>
      </c>
      <c r="K21" s="6" t="inlineStr">
        <is>
          <t>H1 completion → E26</t>
        </is>
      </c>
      <c r="L21" s="6" t="inlineStr">
        <is>
          <t>T6 Data &amp; Analytics</t>
        </is>
      </c>
      <c r="M21" s="8" t="n"/>
      <c r="N21" s="6" t="inlineStr">
        <is>
          <t>Client catalogue (no workbook in repository)</t>
        </is>
      </c>
    </row>
    <row r="22" ht="40.8" customHeight="1">
      <c r="A22" s="5" t="inlineStr">
        <is>
          <t>E18</t>
        </is>
      </c>
      <c r="B22" s="6" t="inlineStr">
        <is>
          <t>Master Data &amp; No-Code Configuration</t>
        </is>
      </c>
      <c r="C22" s="6" t="inlineStr">
        <is>
          <t>Platform</t>
        </is>
      </c>
      <c r="D22" s="9" t="inlineStr">
        <is>
          <t>Partial</t>
        </is>
      </c>
      <c r="E22" s="6" t="inlineStr">
        <is>
          <t>Increment 0, extended in 1–5</t>
        </is>
      </c>
      <c r="F22" s="8" t="n"/>
      <c r="G22" s="8" t="n"/>
      <c r="H22" s="8" t="n"/>
      <c r="I22" s="8" t="n"/>
      <c r="J22" s="6" t="inlineStr">
        <is>
          <t>Versioned rules, protocols, templates and configuration API. Gaps: business / site calendar (O10), OH staff roster API or feed (O9), maker-checker for configuration changes, feature-flag governance (O34).</t>
        </is>
      </c>
      <c r="K22" s="6" t="inlineStr">
        <is>
          <t>H1 (production grade)</t>
        </is>
      </c>
      <c r="L22" s="6" t="inlineStr">
        <is>
          <t>T5 Platform &amp; SRE</t>
        </is>
      </c>
      <c r="M22" s="8" t="n"/>
      <c r="N22" s="6" t="inlineStr">
        <is>
          <t>Client catalogue (no workbook in repository)</t>
        </is>
      </c>
    </row>
    <row r="23" ht="40.8" customHeight="1">
      <c r="A23" s="5" t="inlineStr">
        <is>
          <t>E19</t>
        </is>
      </c>
      <c r="B23" s="6" t="inlineStr">
        <is>
          <t>Security Hardening &amp; Assurance (drafted as 'E15', renumbered)</t>
        </is>
      </c>
      <c r="C23" s="6" t="inlineStr">
        <is>
          <t>Security</t>
        </is>
      </c>
      <c r="D23" s="10" t="inlineStr">
        <is>
          <t>Planned</t>
        </is>
      </c>
      <c r="E23" s="6" t="inlineStr">
        <is>
          <t>Drafted Oct 2026 (security assessment)</t>
        </is>
      </c>
      <c r="F23" s="8" t="n"/>
      <c r="G23" s="8" t="n"/>
      <c r="H23" s="8" t="n"/>
      <c r="I23" s="8" t="n"/>
      <c r="J23" s="6" t="inlineStr">
        <is>
          <t>17 HLRs, 17 features, 46 backlog items, 256 indicative SP (docs/security/epics). Go-live conditions G1–G6: pen test, scan evidence, AKS admission, demo-identity guard, CMK decision, patch SLAs.</t>
        </is>
      </c>
      <c r="K23" s="6" t="inlineStr">
        <is>
          <t>H1 (Now / Next), H2 (Later)</t>
        </is>
      </c>
      <c r="L23" s="6" t="inlineStr">
        <is>
          <t>T5 Platform &amp; SRE</t>
        </is>
      </c>
      <c r="M23" s="8" t="n">
        <v>256</v>
      </c>
      <c r="N23" s="6" t="inlineStr">
        <is>
          <t>docs/security/epics/E15_Security_Hardening_and_Assurance.xlsx (to be renumbered E19)</t>
        </is>
      </c>
    </row>
    <row r="24" ht="28.2" customHeight="1">
      <c r="A24" s="5" t="inlineStr">
        <is>
          <t>E20</t>
        </is>
      </c>
      <c r="B24" s="6" t="inlineStr">
        <is>
          <t>Resilience &amp; Tier-0 Operations (SRE)</t>
        </is>
      </c>
      <c r="C24" s="6" t="inlineStr">
        <is>
          <t>Strategy (new)</t>
        </is>
      </c>
      <c r="D24" s="10" t="inlineStr">
        <is>
          <t>Planned</t>
        </is>
      </c>
      <c r="E24" s="6" t="inlineStr">
        <is>
          <t>Proposed – H1–H2</t>
        </is>
      </c>
      <c r="F24" s="8" t="n"/>
      <c r="G24" s="8" t="n"/>
      <c r="H24" s="8" t="n"/>
      <c r="I24" s="8" t="n"/>
      <c r="J24" s="6" t="inlineStr">
        <is>
          <t>Run PROD as a Tier-0 service at 99.99 % inside one jurisdiction, with failover, SLOs and drills proven, not assumed.</t>
        </is>
      </c>
      <c r="K24" s="6" t="inlineStr">
        <is>
          <t>H1–H2</t>
        </is>
      </c>
      <c r="L24" s="6" t="inlineStr">
        <is>
          <t>T5 Platform &amp; SRE</t>
        </is>
      </c>
      <c r="M24" s="8" t="n">
        <v>107</v>
      </c>
      <c r="N24" s="6" t="inlineStr">
        <is>
          <t>docs/strategy/epics/E20_Resilience_and_Tier0_Operations.xlsx</t>
        </is>
      </c>
    </row>
    <row r="25" ht="28.2" customHeight="1">
      <c r="A25" s="5" t="inlineStr">
        <is>
          <t>E21</t>
        </is>
      </c>
      <c r="B25" s="6" t="inlineStr">
        <is>
          <t>Accessibility &amp; Internationalisation</t>
        </is>
      </c>
      <c r="C25" s="6" t="inlineStr">
        <is>
          <t>Strategy (new)</t>
        </is>
      </c>
      <c r="D25" s="10" t="inlineStr">
        <is>
          <t>Planned</t>
        </is>
      </c>
      <c r="E25" s="6" t="inlineStr">
        <is>
          <t>Proposed – H1–H2</t>
        </is>
      </c>
      <c r="F25" s="8" t="n"/>
      <c r="G25" s="8" t="n"/>
      <c r="H25" s="8" t="n"/>
      <c r="I25" s="8" t="n"/>
      <c r="J25" s="6" t="inlineStr">
        <is>
          <t>WCAG 2.2 AA everywhere and full Arabic (RTL) plus the workforce's main languages across all apps and documents.</t>
        </is>
      </c>
      <c r="K25" s="6" t="inlineStr">
        <is>
          <t>H1–H2</t>
        </is>
      </c>
      <c r="L25" s="6" t="inlineStr">
        <is>
          <t>T3 Experience &amp; Mobile</t>
        </is>
      </c>
      <c r="M25" s="8" t="n">
        <v>79</v>
      </c>
      <c r="N25" s="6" t="inlineStr">
        <is>
          <t>docs/strategy/epics/E21_Accessibility_and_Internationalisation.xlsx</t>
        </is>
      </c>
    </row>
    <row r="26" ht="28.2" customHeight="1">
      <c r="A26" s="5" t="inlineStr">
        <is>
          <t>E22</t>
        </is>
      </c>
      <c r="B26" s="6" t="inlineStr">
        <is>
          <t>Native Mobile, Offline &amp; Field Capability</t>
        </is>
      </c>
      <c r="C26" s="6" t="inlineStr">
        <is>
          <t>Strategy (new)</t>
        </is>
      </c>
      <c r="D26" s="10" t="inlineStr">
        <is>
          <t>Planned</t>
        </is>
      </c>
      <c r="E26" s="6" t="inlineStr">
        <is>
          <t>Proposed – H1–H2</t>
        </is>
      </c>
      <c r="F26" s="8" t="n"/>
      <c r="G26" s="8" t="n"/>
      <c r="H26" s="8" t="n"/>
      <c r="I26" s="8" t="n"/>
      <c r="J26" s="6" t="inlineStr">
        <is>
          <t>A store- and MDM-ready crew and field app that works securely without network: offline first-aid capture, NFC, push and a certificate wallet.</t>
        </is>
      </c>
      <c r="K26" s="6" t="inlineStr">
        <is>
          <t>H1–H2</t>
        </is>
      </c>
      <c r="L26" s="6" t="inlineStr">
        <is>
          <t>T3 Experience &amp; Mobile</t>
        </is>
      </c>
      <c r="M26" s="8" t="n">
        <v>75</v>
      </c>
      <c r="N26" s="6" t="inlineStr">
        <is>
          <t>docs/strategy/epics/E22_Native_Mobile_and_Offline.xlsx</t>
        </is>
      </c>
    </row>
    <row r="27" ht="28.2" customHeight="1">
      <c r="A27" s="5" t="inlineStr">
        <is>
          <t>E23</t>
        </is>
      </c>
      <c r="B27" s="6" t="inlineStr">
        <is>
          <t>Interoperability Hub (FHIR, IHE, HL7 v2, national records)</t>
        </is>
      </c>
      <c r="C27" s="6" t="inlineStr">
        <is>
          <t>Strategy (new)</t>
        </is>
      </c>
      <c r="D27" s="10" t="inlineStr">
        <is>
          <t>Planned</t>
        </is>
      </c>
      <c r="E27" s="6" t="inlineStr">
        <is>
          <t>Proposed – H1–H3</t>
        </is>
      </c>
      <c r="F27" s="8" t="n"/>
      <c r="G27" s="8" t="n"/>
      <c r="H27" s="8" t="n"/>
      <c r="I27" s="8" t="n"/>
      <c r="J27" s="6" t="inlineStr">
        <is>
          <t>Standards-based exchange with hospitals, labs, regulators and national health records – no more e-mail for clinical data.</t>
        </is>
      </c>
      <c r="K27" s="6" t="inlineStr">
        <is>
          <t>H1–H3</t>
        </is>
      </c>
      <c r="L27" s="6" t="inlineStr">
        <is>
          <t>T4 Integration &amp; Interoperability</t>
        </is>
      </c>
      <c r="M27" s="8" t="n">
        <v>100</v>
      </c>
      <c r="N27" s="6" t="inlineStr">
        <is>
          <t>docs/strategy/epics/E23_Interoperability_Hub.xlsx</t>
        </is>
      </c>
    </row>
    <row r="28" ht="40.8" customHeight="1">
      <c r="A28" s="5" t="inlineStr">
        <is>
          <t>E24</t>
        </is>
      </c>
      <c r="B28" s="6" t="inlineStr">
        <is>
          <t>Aviation Medical Certification &amp; Regulator Interface</t>
        </is>
      </c>
      <c r="C28" s="6" t="inlineStr">
        <is>
          <t>Strategy (new)</t>
        </is>
      </c>
      <c r="D28" s="10" t="inlineStr">
        <is>
          <t>Planned</t>
        </is>
      </c>
      <c r="E28" s="6" t="inlineStr">
        <is>
          <t>Proposed – H1–H2</t>
        </is>
      </c>
      <c r="F28" s="8" t="n"/>
      <c r="G28" s="8" t="n"/>
      <c r="H28" s="8" t="n"/>
      <c r="I28" s="8" t="n"/>
      <c r="J28" s="6" t="inlineStr">
        <is>
          <t>End-to-end AME certification with qualified signatures and electronic submission to the aviation authority's medical system.</t>
        </is>
      </c>
      <c r="K28" s="6" t="inlineStr">
        <is>
          <t>H1–H2</t>
        </is>
      </c>
      <c r="L28" s="6" t="inlineStr">
        <is>
          <t>T1 Clinical Care</t>
        </is>
      </c>
      <c r="M28" s="8" t="n">
        <v>63</v>
      </c>
      <c r="N28" s="6" t="inlineStr">
        <is>
          <t>docs/strategy/epics/E24_Aviation_Medical_Certification_and_Regulator_Interface.xlsx</t>
        </is>
      </c>
    </row>
    <row r="29" ht="40.8" customHeight="1">
      <c r="A29" s="5" t="inlineStr">
        <is>
          <t>E25</t>
        </is>
      </c>
      <c r="B29" s="6" t="inlineStr">
        <is>
          <t>Fatigue Risk &amp; Shift-Work Health (FRMS integration)</t>
        </is>
      </c>
      <c r="C29" s="6" t="inlineStr">
        <is>
          <t>Strategy (new)</t>
        </is>
      </c>
      <c r="D29" s="10" t="inlineStr">
        <is>
          <t>Planned</t>
        </is>
      </c>
      <c r="E29" s="6" t="inlineStr">
        <is>
          <t>Proposed – H2</t>
        </is>
      </c>
      <c r="F29" s="8" t="n"/>
      <c r="G29" s="8" t="n"/>
      <c r="H29" s="8" t="n"/>
      <c r="I29" s="8" t="n"/>
      <c r="J29" s="6" t="inlineStr">
        <is>
          <t>Connect occupational health with the airline's FRMS and rostering – health-related fatigue handled clinically, insight shared only in aggregate.</t>
        </is>
      </c>
      <c r="K29" s="6" t="inlineStr">
        <is>
          <t>H2</t>
        </is>
      </c>
      <c r="L29" s="6" t="inlineStr">
        <is>
          <t>T2 Workforce Health &amp; Prevention</t>
        </is>
      </c>
      <c r="M29" s="8" t="n">
        <v>47</v>
      </c>
      <c r="N29" s="6" t="inlineStr">
        <is>
          <t>docs/strategy/epics/E25_Fatigue_Risk_and_Shift_Work_Health.xlsx</t>
        </is>
      </c>
    </row>
    <row r="30" ht="28.2" customHeight="1">
      <c r="A30" s="5" t="inlineStr">
        <is>
          <t>E26</t>
        </is>
      </c>
      <c r="B30" s="6" t="inlineStr">
        <is>
          <t>Data Platform &amp; Research-Grade De-identified Datasets</t>
        </is>
      </c>
      <c r="C30" s="6" t="inlineStr">
        <is>
          <t>Strategy (new)</t>
        </is>
      </c>
      <c r="D30" s="10" t="inlineStr">
        <is>
          <t>Planned</t>
        </is>
      </c>
      <c r="E30" s="6" t="inlineStr">
        <is>
          <t>Proposed – H1–H2</t>
        </is>
      </c>
      <c r="F30" s="8" t="n"/>
      <c r="G30" s="8" t="n"/>
      <c r="H30" s="8" t="n"/>
      <c r="I30" s="8" t="n"/>
      <c r="J30" s="6" t="inlineStr">
        <is>
          <t>An in-country, governed analytics platform that finally reports every client KPI and offers de-identified datasets safely.</t>
        </is>
      </c>
      <c r="K30" s="6" t="inlineStr">
        <is>
          <t>H1–H2</t>
        </is>
      </c>
      <c r="L30" s="6" t="inlineStr">
        <is>
          <t>T6 Data &amp; Analytics</t>
        </is>
      </c>
      <c r="M30" s="8" t="n">
        <v>85</v>
      </c>
      <c r="N30" s="6" t="inlineStr">
        <is>
          <t>docs/strategy/epics/E26_Data_Platform_and_Deidentified_Datasets.xlsx</t>
        </is>
      </c>
    </row>
    <row r="31" ht="28.2" customHeight="1">
      <c r="A31" s="5" t="inlineStr">
        <is>
          <t>E27</t>
        </is>
      </c>
      <c r="B31" s="6" t="inlineStr">
        <is>
          <t>Predictive Health &amp; Absence Analytics (governed)</t>
        </is>
      </c>
      <c r="C31" s="6" t="inlineStr">
        <is>
          <t>Strategy (new)</t>
        </is>
      </c>
      <c r="D31" s="10" t="inlineStr">
        <is>
          <t>Planned</t>
        </is>
      </c>
      <c r="E31" s="6" t="inlineStr">
        <is>
          <t>Proposed – H2–H3</t>
        </is>
      </c>
      <c r="F31" s="8" t="n"/>
      <c r="G31" s="8" t="n"/>
      <c r="H31" s="8" t="n"/>
      <c r="I31" s="8" t="n"/>
      <c r="J31" s="6" t="inlineStr">
        <is>
          <t>Advisory early-intervention signals for OH clinicians, under clinical-safety, bias and AI governance – never automated decisions.</t>
        </is>
      </c>
      <c r="K31" s="6" t="inlineStr">
        <is>
          <t>H2–H3</t>
        </is>
      </c>
      <c r="L31" s="6" t="inlineStr">
        <is>
          <t>T6 Data &amp; Analytics</t>
        </is>
      </c>
      <c r="M31" s="8" t="n">
        <v>68</v>
      </c>
      <c r="N31" s="6" t="inlineStr">
        <is>
          <t>docs/strategy/epics/E27_Predictive_Health_and_Absence_Analytics.xlsx</t>
        </is>
      </c>
    </row>
    <row r="32" ht="28.2" customHeight="1">
      <c r="A32" s="5" t="inlineStr">
        <is>
          <t>E28</t>
        </is>
      </c>
      <c r="B32" s="6" t="inlineStr">
        <is>
          <t>Clinical Documentation Assistant (governed)</t>
        </is>
      </c>
      <c r="C32" s="6" t="inlineStr">
        <is>
          <t>Strategy (new)</t>
        </is>
      </c>
      <c r="D32" s="10" t="inlineStr">
        <is>
          <t>Planned</t>
        </is>
      </c>
      <c r="E32" s="6" t="inlineStr">
        <is>
          <t>Proposed – H1–H2</t>
        </is>
      </c>
      <c r="F32" s="8" t="n"/>
      <c r="G32" s="8" t="n"/>
      <c r="H32" s="8" t="n"/>
      <c r="I32" s="8" t="n"/>
      <c r="J32" s="6" t="inlineStr">
        <is>
          <t>Switch on the existing assistant extension point with an in-country, governed provider – drafts that clinicians always review and sign.</t>
        </is>
      </c>
      <c r="K32" s="6" t="inlineStr">
        <is>
          <t>H1–H2</t>
        </is>
      </c>
      <c r="L32" s="6" t="inlineStr">
        <is>
          <t>T1 Clinical Care</t>
        </is>
      </c>
      <c r="M32" s="8" t="n">
        <v>61</v>
      </c>
      <c r="N32" s="6" t="inlineStr">
        <is>
          <t>docs/strategy/epics/E28_Clinical_Documentation_Assistant.xlsx</t>
        </is>
      </c>
    </row>
    <row r="33" ht="28.2" customHeight="1">
      <c r="A33" s="5" t="inlineStr">
        <is>
          <t>E29</t>
        </is>
      </c>
      <c r="B33" s="6" t="inlineStr">
        <is>
          <t>Multi-Subsidiary Tenancy, Onboarding &amp; Extension Platform</t>
        </is>
      </c>
      <c r="C33" s="6" t="inlineStr">
        <is>
          <t>Strategy (new)</t>
        </is>
      </c>
      <c r="D33" s="10" t="inlineStr">
        <is>
          <t>Planned</t>
        </is>
      </c>
      <c r="E33" s="6" t="inlineStr">
        <is>
          <t>Proposed – H2–H3</t>
        </is>
      </c>
      <c r="F33" s="8" t="n"/>
      <c r="G33" s="8" t="n"/>
      <c r="H33" s="8" t="n"/>
      <c r="I33" s="8" t="n"/>
      <c r="J33" s="6" t="inlineStr">
        <is>
          <t>Onboard a new subsidiary or client in weeks, with configurable tenancy, white-label branding and signed extensions instead of forks.</t>
        </is>
      </c>
      <c r="K33" s="6" t="inlineStr">
        <is>
          <t>H2–H3</t>
        </is>
      </c>
      <c r="L33" s="6" t="inlineStr">
        <is>
          <t>T5 Platform &amp; SRE</t>
        </is>
      </c>
      <c r="M33" s="8" t="n">
        <v>81</v>
      </c>
      <c r="N33" s="6" t="inlineStr">
        <is>
          <t>docs/strategy/epics/E29_Multi_Tenant_Subsidiary_Onboarding_and_Extensions.xlsx</t>
        </is>
      </c>
    </row>
    <row r="34" ht="40.8" customHeight="1">
      <c r="A34" s="5" t="inlineStr">
        <is>
          <t>E30</t>
        </is>
      </c>
      <c r="B34" s="6" t="inlineStr">
        <is>
          <t>Workforce Health Digital Twin &amp; Capacity Planning</t>
        </is>
      </c>
      <c r="C34" s="6" t="inlineStr">
        <is>
          <t>Strategy (new)</t>
        </is>
      </c>
      <c r="D34" s="10" t="inlineStr">
        <is>
          <t>Planned</t>
        </is>
      </c>
      <c r="E34" s="6" t="inlineStr">
        <is>
          <t>Proposed – H3</t>
        </is>
      </c>
      <c r="F34" s="8" t="n"/>
      <c r="G34" s="8" t="n"/>
      <c r="H34" s="8" t="n"/>
      <c r="I34" s="8" t="n"/>
      <c r="J34" s="6" t="inlineStr">
        <is>
          <t>An aggregate, de-identified model of workforce health readiness per base and fleet, for scenario planning and OH capacity.</t>
        </is>
      </c>
      <c r="K34" s="6" t="inlineStr">
        <is>
          <t>H3</t>
        </is>
      </c>
      <c r="L34" s="6" t="inlineStr">
        <is>
          <t>T6 Data &amp; Analytics</t>
        </is>
      </c>
      <c r="M34" s="8" t="n">
        <v>59</v>
      </c>
      <c r="N34" s="6" t="inlineStr">
        <is>
          <t>docs/strategy/epics/E30_Workforce_Health_Digital_Twin_and_Capacity_Planning.xlsx</t>
        </is>
      </c>
    </row>
    <row r="35" ht="28.2" customHeight="1">
      <c r="A35" s="5" t="inlineStr">
        <is>
          <t>E31</t>
        </is>
      </c>
      <c r="B35" s="6" t="inlineStr">
        <is>
          <t>Employee Wellbeing Marketplace &amp; Benefits Integration</t>
        </is>
      </c>
      <c r="C35" s="6" t="inlineStr">
        <is>
          <t>Strategy (new)</t>
        </is>
      </c>
      <c r="D35" s="10" t="inlineStr">
        <is>
          <t>Planned</t>
        </is>
      </c>
      <c r="E35" s="6" t="inlineStr">
        <is>
          <t>Proposed – H3</t>
        </is>
      </c>
      <c r="F35" s="8" t="n"/>
      <c r="G35" s="8" t="n"/>
      <c r="H35" s="8" t="n"/>
      <c r="I35" s="8" t="n"/>
      <c r="J35" s="6" t="inlineStr">
        <is>
          <t>A curated, integration-led marketplace of wellbeing services in the employee app – eligibility from benefits systems, no OH data to vendors.</t>
        </is>
      </c>
      <c r="K35" s="6" t="inlineStr">
        <is>
          <t>H3</t>
        </is>
      </c>
      <c r="L35" s="6" t="inlineStr">
        <is>
          <t>T2 Workforce Health &amp; Prevention</t>
        </is>
      </c>
      <c r="M35" s="8" t="n">
        <v>46</v>
      </c>
      <c r="N35" s="6" t="inlineStr">
        <is>
          <t>docs/strategy/epics/E31_Wellbeing_Marketplace_and_Benefits_Integration.xlsx</t>
        </is>
      </c>
    </row>
    <row r="37">
      <c r="B37" s="11" t="inlineStr">
        <is>
          <t>Done</t>
        </is>
      </c>
      <c r="C37" s="11">
        <f>COUNTIF(D5:D35,"Done")</f>
        <v/>
      </c>
    </row>
    <row r="38">
      <c r="B38" s="11" t="inlineStr">
        <is>
          <t>Partial</t>
        </is>
      </c>
      <c r="C38" s="11">
        <f>COUNTIF(D5:D35,"Partial")</f>
        <v/>
      </c>
    </row>
    <row r="39">
      <c r="B39" s="11" t="inlineStr">
        <is>
          <t>Planned</t>
        </is>
      </c>
      <c r="C39" s="11">
        <f>COUNTIF(D5:D35,"Planned")</f>
        <v/>
      </c>
    </row>
    <row r="40">
      <c r="B40" s="11" t="inlineStr">
        <is>
          <t>Items traced (E01–E14)</t>
        </is>
      </c>
      <c r="C40" s="11">
        <f>SUM(F5:F35)</f>
        <v/>
      </c>
    </row>
    <row r="41">
      <c r="B41" s="11" t="inlineStr">
        <is>
          <t>Implemented</t>
        </is>
      </c>
      <c r="C41" s="11">
        <f>SUM(G5:G35)</f>
        <v/>
      </c>
    </row>
    <row r="42">
      <c r="B42" s="11" t="inlineStr">
        <is>
          <t>Implemented – sign-off pending</t>
        </is>
      </c>
      <c r="C42" s="11">
        <f>SUM(H5:H35)</f>
        <v/>
      </c>
    </row>
    <row r="43">
      <c r="B43" s="11" t="inlineStr">
        <is>
          <t>Partial</t>
        </is>
      </c>
      <c r="C43" s="11">
        <f>SUM(I5:I35)</f>
        <v/>
      </c>
    </row>
    <row r="44">
      <c r="B44" s="11" t="inlineStr">
        <is>
          <t>Indicative SP – E19 to E31</t>
        </is>
      </c>
      <c r="C44" s="11">
        <f>SUM(M5:M35)</f>
        <v/>
      </c>
    </row>
    <row r="46" ht="40" customHeight="1">
      <c r="A46" s="12" t="inlineStr">
        <is>
          <t>Sources: release notes and requirements traceability matrices of increments 1–5 (per-epic counts; increment 5 distinguishes 'implemented – configuration needs sign-off'); architecture document 01 Sections 1, 16–18; Security Enhancement Guideline. E05 also has one deferred training item. 'Done' means functionally delivered and verified – go-live still depends on the sign-offs and connectors listed.</t>
        </is>
      </c>
    </row>
  </sheetData>
  <autoFilter ref="A4:N35"/>
  <mergeCells count="4">
    <mergeCell ref="A46:N46"/>
    <mergeCell ref="A3:N3"/>
    <mergeCell ref="A2:N2"/>
    <mergeCell ref="A1:N1"/>
  </mergeCells>
  <dataValidations count="1">
    <dataValidation sqref="D5:D35" showDropDown="0" showInputMessage="0" showErrorMessage="0" allowBlank="1" type="list">
      <formula1>"Done,Partial,Planned"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24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30" customWidth="1" min="16" max="16"/>
  </cols>
  <sheetData>
    <row r="1" ht="17.35" customHeight="1">
      <c r="A1" s="1" t="inlineStr">
        <is>
          <t>Horizon roadmap – 36 months from November 2026</t>
        </is>
      </c>
    </row>
    <row r="2" ht="15" customHeight="1">
      <c r="A2" s="2" t="inlineStr">
        <is>
          <t>H1 go-live readiness (Q1–Q2) · H2 scale, intelligence and experience (Q3–Q6) · H3 ecosystem and industry leadership (Q7–Q12). Shaded = active.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4" t="inlineStr">
        <is>
          <t>ID</t>
        </is>
      </c>
      <c r="B4" s="4" t="inlineStr">
        <is>
          <t>Work item</t>
        </is>
      </c>
      <c r="C4" s="4" t="inlineStr">
        <is>
          <t>Team / owner</t>
        </is>
      </c>
      <c r="D4" s="4" t="inlineStr">
        <is>
          <t>Q1 Nov–Jan 27</t>
        </is>
      </c>
      <c r="E4" s="4" t="inlineStr">
        <is>
          <t>Q2 Feb–Apr 27</t>
        </is>
      </c>
      <c r="F4" s="4" t="inlineStr">
        <is>
          <t>Q3 May–Jul 27</t>
        </is>
      </c>
      <c r="G4" s="4" t="inlineStr">
        <is>
          <t>Q4 Aug–Oct 27</t>
        </is>
      </c>
      <c r="H4" s="4" t="inlineStr">
        <is>
          <t>Q5 Nov–Jan 28</t>
        </is>
      </c>
      <c r="I4" s="4" t="inlineStr">
        <is>
          <t>Q6 Feb–Apr 28</t>
        </is>
      </c>
      <c r="J4" s="4" t="inlineStr">
        <is>
          <t>Q7 May–Jul 28</t>
        </is>
      </c>
      <c r="K4" s="4" t="inlineStr">
        <is>
          <t>Q8 Aug–Oct 28</t>
        </is>
      </c>
      <c r="L4" s="4" t="inlineStr">
        <is>
          <t>Q9 Nov–Jan 29</t>
        </is>
      </c>
      <c r="M4" s="4" t="inlineStr">
        <is>
          <t>Q10 Feb–Apr 29</t>
        </is>
      </c>
      <c r="N4" s="4" t="inlineStr">
        <is>
          <t>Q11 May–Jul 29</t>
        </is>
      </c>
      <c r="O4" s="4" t="inlineStr">
        <is>
          <t>Q12 Aug–Oct 29</t>
        </is>
      </c>
      <c r="P4" s="4" t="inlineStr">
        <is>
          <t>Milestone / exit criterion</t>
        </is>
      </c>
    </row>
    <row r="5" ht="28.2" customHeight="1">
      <c r="A5" s="5" t="inlineStr">
        <is>
          <t>GL-01</t>
        </is>
      </c>
      <c r="B5" s="6" t="inlineStr">
        <is>
          <t>Clinical, MRO and legal sign-offs (O11, O14, O19, O31; RTM-5 follow-up register)</t>
        </is>
      </c>
      <c r="C5" s="6" t="inlineStr">
        <is>
          <t>CMO, MRO, Legal, DPO</t>
        </is>
      </c>
      <c r="D5" s="13" t="inlineStr">
        <is>
          <t>■</t>
        </is>
      </c>
      <c r="E5" s="13" t="inlineStr">
        <is>
          <t>■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6" t="inlineStr">
        <is>
          <t>Go-live gate</t>
        </is>
      </c>
    </row>
    <row r="6" ht="28.2" customHeight="1">
      <c r="A6" s="5" t="inlineStr">
        <is>
          <t>GL-02</t>
        </is>
      </c>
      <c r="B6" s="6" t="inlineStr">
        <is>
          <t>Go-live configuration items (named clinicians O38, MFA enrolment O23 / O32, GitHub Environments O33)</t>
        </is>
      </c>
      <c r="C6" s="6" t="inlineStr">
        <is>
          <t>Platform operations, IAM</t>
        </is>
      </c>
      <c r="D6" s="13" t="inlineStr">
        <is>
          <t>■</t>
        </is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6" t="inlineStr">
        <is>
          <t>Go-live gate</t>
        </is>
      </c>
    </row>
    <row r="7" ht="28.2" customHeight="1">
      <c r="A7" s="5" t="inlineStr">
        <is>
          <t>GL-03</t>
        </is>
      </c>
      <c r="B7" s="6" t="inlineStr">
        <is>
          <t>Independent penetration test and retest (SEC-E01) – go-live condition G1</t>
        </is>
      </c>
      <c r="C7" s="6" t="inlineStr">
        <is>
          <t>CISO office</t>
        </is>
      </c>
      <c r="D7" s="8" t="n"/>
      <c r="E7" s="13" t="inlineStr">
        <is>
          <t>■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6" t="inlineStr">
        <is>
          <t>Go-live gate</t>
        </is>
      </c>
    </row>
    <row r="8" ht="28.2" customHeight="1">
      <c r="A8" s="5" t="inlineStr">
        <is>
          <t>GL-04</t>
        </is>
      </c>
      <c r="B8" s="6" t="inlineStr">
        <is>
          <t>Tier-0 two-region Azure landing zone and PROD go-live (16-week plan in the decision pack)</t>
        </is>
      </c>
      <c r="C8" s="6" t="inlineStr">
        <is>
          <t>Platform &amp; SRE</t>
        </is>
      </c>
      <c r="D8" s="13" t="inlineStr">
        <is>
          <t>■</t>
        </is>
      </c>
      <c r="E8" s="13" t="inlineStr">
        <is>
          <t>■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6" t="inlineStr">
        <is>
          <t>Go-live gate</t>
        </is>
      </c>
    </row>
    <row r="9" ht="28.2" customHeight="1">
      <c r="A9" s="5" t="inlineStr">
        <is>
          <t>GL-05</t>
        </is>
      </c>
      <c r="B9" s="6" t="inlineStr">
        <is>
          <t>Retention classes approved and purge jobs enabled (D6, O12, O22, O27, O36)</t>
        </is>
      </c>
      <c r="C9" s="6" t="inlineStr">
        <is>
          <t>DPO, Legal</t>
        </is>
      </c>
      <c r="D9" s="13" t="inlineStr">
        <is>
          <t>■</t>
        </is>
      </c>
      <c r="E9" s="13" t="inlineStr">
        <is>
          <t>■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6" t="inlineStr">
        <is>
          <t>Go-live gate</t>
        </is>
      </c>
    </row>
    <row r="10" ht="28.2" customHeight="1">
      <c r="A10" s="5" t="inlineStr">
        <is>
          <t>E13</t>
        </is>
      </c>
      <c r="B10" s="6" t="inlineStr">
        <is>
          <t>Employee &amp; Manager Portal / App (self-service) – complete to production grade</t>
        </is>
      </c>
      <c r="C10" s="6" t="inlineStr">
        <is>
          <t>T3 Experience &amp; Mobile</t>
        </is>
      </c>
      <c r="D10" s="13" t="inlineStr">
        <is>
          <t>■</t>
        </is>
      </c>
      <c r="E10" s="13" t="inlineStr">
        <is>
          <t>■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6" t="inlineStr">
        <is>
          <t>Store / MDM-ready app</t>
        </is>
      </c>
    </row>
    <row r="11" ht="28.2" customHeight="1">
      <c r="A11" s="5" t="inlineStr">
        <is>
          <t>E15</t>
        </is>
      </c>
      <c r="B11" s="6" t="inlineStr">
        <is>
          <t>Integration &amp; API Gateway – complete to production grade</t>
        </is>
      </c>
      <c r="C11" s="6" t="inlineStr">
        <is>
          <t>T4 Integration &amp; Interoperability</t>
        </is>
      </c>
      <c r="D11" s="13" t="inlineStr">
        <is>
          <t>■</t>
        </is>
      </c>
      <c r="E11" s="13" t="inlineStr">
        <is>
          <t>■</t>
        </is>
      </c>
      <c r="F11" s="9" t="inlineStr">
        <is>
          <t>■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6" t="inlineStr">
        <is>
          <t>12 production connectors live</t>
        </is>
      </c>
    </row>
    <row r="12" ht="28.2" customHeight="1">
      <c r="A12" s="5" t="inlineStr">
        <is>
          <t>E16</t>
        </is>
      </c>
      <c r="B12" s="6" t="inlineStr">
        <is>
          <t>Identity, Access, Consent &amp; Audit – complete to production grade</t>
        </is>
      </c>
      <c r="C12" s="6" t="inlineStr">
        <is>
          <t>T5 Platform &amp; SRE</t>
        </is>
      </c>
      <c r="D12" s="13" t="inlineStr">
        <is>
          <t>■</t>
        </is>
      </c>
      <c r="E12" s="13" t="inlineStr">
        <is>
          <t>■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6" t="inlineStr">
        <is>
          <t>Envelope encryption, anchoring, purge jobs</t>
        </is>
      </c>
    </row>
    <row r="13" ht="28.2" customHeight="1">
      <c r="A13" s="5" t="inlineStr">
        <is>
          <t>E17</t>
        </is>
      </c>
      <c r="B13" s="6" t="inlineStr">
        <is>
          <t>Analytics &amp; Reporting (de-identified) – complete to production grade</t>
        </is>
      </c>
      <c r="C13" s="6" t="inlineStr">
        <is>
          <t>T6 Data &amp; Analytics</t>
        </is>
      </c>
      <c r="D13" s="13" t="inlineStr">
        <is>
          <t>■</t>
        </is>
      </c>
      <c r="E13" s="13" t="inlineStr">
        <is>
          <t>■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6" t="inlineStr">
        <is>
          <t>Outstanding KPIs on KPI API</t>
        </is>
      </c>
    </row>
    <row r="14" ht="28.2" customHeight="1">
      <c r="A14" s="5" t="inlineStr">
        <is>
          <t>E18</t>
        </is>
      </c>
      <c r="B14" s="6" t="inlineStr">
        <is>
          <t>Master Data &amp; No-Code Configuration – complete to production grade</t>
        </is>
      </c>
      <c r="C14" s="6" t="inlineStr">
        <is>
          <t>T5 Platform &amp; SRE</t>
        </is>
      </c>
      <c r="D14" s="13" t="inlineStr">
        <is>
          <t>■</t>
        </is>
      </c>
      <c r="E14" s="13" t="inlineStr">
        <is>
          <t>■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6" t="inlineStr">
        <is>
          <t>Calendar, roster feed, maker-checker</t>
        </is>
      </c>
    </row>
    <row r="15" ht="28.2" customHeight="1">
      <c r="A15" s="5" t="inlineStr">
        <is>
          <t>E19</t>
        </is>
      </c>
      <c r="B15" s="6" t="inlineStr">
        <is>
          <t>Security Hardening &amp; Assurance (drafted as 'E15', renumbered)</t>
        </is>
      </c>
      <c r="C15" s="6" t="inlineStr">
        <is>
          <t>T5 Platform &amp; SRE + security champions</t>
        </is>
      </c>
      <c r="D15" s="13" t="inlineStr">
        <is>
          <t>■</t>
        </is>
      </c>
      <c r="E15" s="13" t="inlineStr">
        <is>
          <t>■</t>
        </is>
      </c>
      <c r="F15" s="9" t="inlineStr">
        <is>
          <t>■</t>
        </is>
      </c>
      <c r="G15" s="9" t="inlineStr">
        <is>
          <t>■</t>
        </is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6" t="inlineStr">
        <is>
          <t>G1–G6 met; Later items closed</t>
        </is>
      </c>
    </row>
    <row r="16" ht="27" customHeight="1">
      <c r="A16" s="5" t="inlineStr">
        <is>
          <t>E20</t>
        </is>
      </c>
      <c r="B16" s="6" t="inlineStr">
        <is>
          <t>Resilience &amp; Tier-0 Operations (SRE)</t>
        </is>
      </c>
      <c r="C16" s="6" t="inlineStr">
        <is>
          <t>T5 Platform &amp; SRE</t>
        </is>
      </c>
      <c r="D16" s="13" t="inlineStr">
        <is>
          <t>■</t>
        </is>
      </c>
      <c r="E16" s="13" t="inlineStr">
        <is>
          <t>■</t>
        </is>
      </c>
      <c r="F16" s="9" t="inlineStr">
        <is>
          <t>■</t>
        </is>
      </c>
      <c r="G16" s="9" t="inlineStr">
        <is>
          <t>■</t>
        </is>
      </c>
      <c r="H16" s="8" t="n"/>
      <c r="I16" s="8" t="n"/>
      <c r="J16" s="8" t="n"/>
      <c r="K16" s="8" t="n"/>
      <c r="L16" s="8" t="n"/>
      <c r="M16" s="8" t="n"/>
      <c r="N16" s="8" t="n"/>
      <c r="O16" s="8" t="n"/>
      <c r="P16" s="6" t="inlineStr">
        <is>
          <t>Failover drill RTO ≤ 15 min proven</t>
        </is>
      </c>
    </row>
    <row r="17" ht="28.2" customHeight="1">
      <c r="A17" s="5" t="inlineStr">
        <is>
          <t>E21</t>
        </is>
      </c>
      <c r="B17" s="6" t="inlineStr">
        <is>
          <t>Accessibility &amp; Internationalisation</t>
        </is>
      </c>
      <c r="C17" s="6" t="inlineStr">
        <is>
          <t>T3 Experience &amp; Mobile</t>
        </is>
      </c>
      <c r="D17" s="8" t="n"/>
      <c r="E17" s="13" t="inlineStr">
        <is>
          <t>■</t>
        </is>
      </c>
      <c r="F17" s="9" t="inlineStr">
        <is>
          <t>■</t>
        </is>
      </c>
      <c r="G17" s="9" t="inlineStr">
        <is>
          <t>■</t>
        </is>
      </c>
      <c r="H17" s="9" t="inlineStr">
        <is>
          <t>■</t>
        </is>
      </c>
      <c r="I17" s="8" t="n"/>
      <c r="J17" s="8" t="n"/>
      <c r="K17" s="8" t="n"/>
      <c r="L17" s="8" t="n"/>
      <c r="M17" s="8" t="n"/>
      <c r="N17" s="8" t="n"/>
      <c r="O17" s="8" t="n"/>
      <c r="P17" s="6" t="inlineStr">
        <is>
          <t>WCAG 2.2 AA audit clean; Arabic everywhere</t>
        </is>
      </c>
    </row>
    <row r="18" ht="28.2" customHeight="1">
      <c r="A18" s="5" t="inlineStr">
        <is>
          <t>E22</t>
        </is>
      </c>
      <c r="B18" s="6" t="inlineStr">
        <is>
          <t>Native Mobile, Offline &amp; Field Capability</t>
        </is>
      </c>
      <c r="C18" s="6" t="inlineStr">
        <is>
          <t>T3 Experience &amp; Mobile</t>
        </is>
      </c>
      <c r="D18" s="13" t="inlineStr">
        <is>
          <t>■</t>
        </is>
      </c>
      <c r="E18" s="13" t="inlineStr">
        <is>
          <t>■</t>
        </is>
      </c>
      <c r="F18" s="9" t="inlineStr">
        <is>
          <t>■</t>
        </is>
      </c>
      <c r="G18" s="9" t="inlineStr">
        <is>
          <t>■</t>
        </is>
      </c>
      <c r="H18" s="9" t="inlineStr">
        <is>
          <t>■</t>
        </is>
      </c>
      <c r="I18" s="8" t="n"/>
      <c r="J18" s="8" t="n"/>
      <c r="K18" s="8" t="n"/>
      <c r="L18" s="8" t="n"/>
      <c r="M18" s="8" t="n"/>
      <c r="N18" s="8" t="n"/>
      <c r="O18" s="8" t="n"/>
      <c r="P18" s="6" t="inlineStr">
        <is>
          <t>Offline capture live at airside posts</t>
        </is>
      </c>
    </row>
    <row r="19" ht="28.2" customHeight="1">
      <c r="A19" s="5" t="inlineStr">
        <is>
          <t>E23</t>
        </is>
      </c>
      <c r="B19" s="6" t="inlineStr">
        <is>
          <t>Interoperability Hub (FHIR, IHE, HL7 v2, national records)</t>
        </is>
      </c>
      <c r="C19" s="6" t="inlineStr">
        <is>
          <t>T4 Integration &amp; Interoperability</t>
        </is>
      </c>
      <c r="D19" s="8" t="n"/>
      <c r="E19" s="13" t="inlineStr">
        <is>
          <t>■</t>
        </is>
      </c>
      <c r="F19" s="9" t="inlineStr">
        <is>
          <t>■</t>
        </is>
      </c>
      <c r="G19" s="9" t="inlineStr">
        <is>
          <t>■</t>
        </is>
      </c>
      <c r="H19" s="9" t="inlineStr">
        <is>
          <t>■</t>
        </is>
      </c>
      <c r="I19" s="9" t="inlineStr">
        <is>
          <t>■</t>
        </is>
      </c>
      <c r="J19" s="7" t="inlineStr">
        <is>
          <t>■</t>
        </is>
      </c>
      <c r="K19" s="7" t="inlineStr">
        <is>
          <t>■</t>
        </is>
      </c>
      <c r="L19" s="8" t="n"/>
      <c r="M19" s="8" t="n"/>
      <c r="N19" s="8" t="n"/>
      <c r="O19" s="8" t="n"/>
      <c r="P19" s="6" t="inlineStr">
        <is>
          <t>First live FHIR hospital + v2 lab</t>
        </is>
      </c>
    </row>
    <row r="20" ht="28.2" customHeight="1">
      <c r="A20" s="5" t="inlineStr">
        <is>
          <t>E24</t>
        </is>
      </c>
      <c r="B20" s="6" t="inlineStr">
        <is>
          <t>Aviation Medical Certification &amp; Regulator Interface</t>
        </is>
      </c>
      <c r="C20" s="6" t="inlineStr">
        <is>
          <t>T1 Clinical Care</t>
        </is>
      </c>
      <c r="D20" s="8" t="n"/>
      <c r="E20" s="13" t="inlineStr">
        <is>
          <t>■</t>
        </is>
      </c>
      <c r="F20" s="9" t="inlineStr">
        <is>
          <t>■</t>
        </is>
      </c>
      <c r="G20" s="9" t="inlineStr">
        <is>
          <t>■</t>
        </is>
      </c>
      <c r="H20" s="9" t="inlineStr">
        <is>
          <t>■</t>
        </is>
      </c>
      <c r="I20" s="9" t="inlineStr">
        <is>
          <t>■</t>
        </is>
      </c>
      <c r="J20" s="8" t="n"/>
      <c r="K20" s="8" t="n"/>
      <c r="L20" s="8" t="n"/>
      <c r="M20" s="8" t="n"/>
      <c r="N20" s="8" t="n"/>
      <c r="O20" s="8" t="n"/>
      <c r="P20" s="6" t="inlineStr">
        <is>
          <t>Electronic submission to the first authority</t>
        </is>
      </c>
    </row>
    <row r="21" ht="28.2" customHeight="1">
      <c r="A21" s="5" t="inlineStr">
        <is>
          <t>E25</t>
        </is>
      </c>
      <c r="B21" s="6" t="inlineStr">
        <is>
          <t>Fatigue Risk &amp; Shift-Work Health (FRMS integration)</t>
        </is>
      </c>
      <c r="C21" s="6" t="inlineStr">
        <is>
          <t>T2 Workforce Health &amp; Prevention</t>
        </is>
      </c>
      <c r="D21" s="8" t="n"/>
      <c r="E21" s="8" t="n"/>
      <c r="F21" s="8" t="n"/>
      <c r="G21" s="9" t="inlineStr">
        <is>
          <t>■</t>
        </is>
      </c>
      <c r="H21" s="9" t="inlineStr">
        <is>
          <t>■</t>
        </is>
      </c>
      <c r="I21" s="9" t="inlineStr">
        <is>
          <t>■</t>
        </is>
      </c>
      <c r="J21" s="7" t="inlineStr">
        <is>
          <t>■</t>
        </is>
      </c>
      <c r="K21" s="8" t="n"/>
      <c r="L21" s="8" t="n"/>
      <c r="M21" s="8" t="n"/>
      <c r="N21" s="8" t="n"/>
      <c r="O21" s="8" t="n"/>
      <c r="P21" s="6" t="inlineStr">
        <is>
          <t>FRMS referral and roster restriction codes live</t>
        </is>
      </c>
    </row>
    <row r="22" ht="28.2" customHeight="1">
      <c r="A22" s="5" t="inlineStr">
        <is>
          <t>E26</t>
        </is>
      </c>
      <c r="B22" s="6" t="inlineStr">
        <is>
          <t>Data Platform &amp; Research-Grade De-identified Datasets</t>
        </is>
      </c>
      <c r="C22" s="6" t="inlineStr">
        <is>
          <t>T6 Data &amp; Analytics</t>
        </is>
      </c>
      <c r="D22" s="8" t="n"/>
      <c r="E22" s="13" t="inlineStr">
        <is>
          <t>■</t>
        </is>
      </c>
      <c r="F22" s="9" t="inlineStr">
        <is>
          <t>■</t>
        </is>
      </c>
      <c r="G22" s="9" t="inlineStr">
        <is>
          <t>■</t>
        </is>
      </c>
      <c r="H22" s="9" t="inlineStr">
        <is>
          <t>■</t>
        </is>
      </c>
      <c r="I22" s="9" t="inlineStr">
        <is>
          <t>■</t>
        </is>
      </c>
      <c r="J22" s="8" t="n"/>
      <c r="K22" s="8" t="n"/>
      <c r="L22" s="8" t="n"/>
      <c r="M22" s="8" t="n"/>
      <c r="N22" s="8" t="n"/>
      <c r="O22" s="8" t="n"/>
      <c r="P22" s="6" t="inlineStr">
        <is>
          <t>All client KPIs from one semantic layer</t>
        </is>
      </c>
    </row>
    <row r="23" ht="28.2" customHeight="1">
      <c r="A23" s="5" t="inlineStr">
        <is>
          <t>E27</t>
        </is>
      </c>
      <c r="B23" s="6" t="inlineStr">
        <is>
          <t>Predictive Health &amp; Absence Analytics (governed)</t>
        </is>
      </c>
      <c r="C23" s="6" t="inlineStr">
        <is>
          <t>T6 Data &amp; Analytics</t>
        </is>
      </c>
      <c r="D23" s="8" t="n"/>
      <c r="E23" s="8" t="n"/>
      <c r="F23" s="8" t="n"/>
      <c r="G23" s="8" t="n"/>
      <c r="H23" s="9" t="inlineStr">
        <is>
          <t>■</t>
        </is>
      </c>
      <c r="I23" s="9" t="inlineStr">
        <is>
          <t>■</t>
        </is>
      </c>
      <c r="J23" s="7" t="inlineStr">
        <is>
          <t>■</t>
        </is>
      </c>
      <c r="K23" s="7" t="inlineStr">
        <is>
          <t>■</t>
        </is>
      </c>
      <c r="L23" s="7" t="inlineStr">
        <is>
          <t>■</t>
        </is>
      </c>
      <c r="M23" s="7" t="inlineStr">
        <is>
          <t>■</t>
        </is>
      </c>
      <c r="N23" s="8" t="n"/>
      <c r="O23" s="8" t="n"/>
      <c r="P23" s="6" t="inlineStr">
        <is>
          <t>Silent pilot passes safety case → live pilot</t>
        </is>
      </c>
    </row>
    <row r="24" ht="28.2" customHeight="1">
      <c r="A24" s="5" t="inlineStr">
        <is>
          <t>E28</t>
        </is>
      </c>
      <c r="B24" s="6" t="inlineStr">
        <is>
          <t>Clinical Documentation Assistant (governed)</t>
        </is>
      </c>
      <c r="C24" s="6" t="inlineStr">
        <is>
          <t>T1 Clinical Care</t>
        </is>
      </c>
      <c r="D24" s="8" t="n"/>
      <c r="E24" s="13" t="inlineStr">
        <is>
          <t>■</t>
        </is>
      </c>
      <c r="F24" s="9" t="inlineStr">
        <is>
          <t>■</t>
        </is>
      </c>
      <c r="G24" s="9" t="inlineStr">
        <is>
          <t>■</t>
        </is>
      </c>
      <c r="H24" s="9" t="inlineStr">
        <is>
          <t>■</t>
        </is>
      </c>
      <c r="I24" s="9" t="inlineStr">
        <is>
          <t>■</t>
        </is>
      </c>
      <c r="J24" s="7" t="inlineStr">
        <is>
          <t>■</t>
        </is>
      </c>
      <c r="K24" s="8" t="n"/>
      <c r="L24" s="8" t="n"/>
      <c r="M24" s="8" t="n"/>
      <c r="N24" s="8" t="n"/>
      <c r="O24" s="8" t="n"/>
      <c r="P24" s="6" t="inlineStr">
        <is>
          <t>5-clinician pilot → staged roll-out</t>
        </is>
      </c>
    </row>
    <row r="25" ht="28.2" customHeight="1">
      <c r="A25" s="5" t="inlineStr">
        <is>
          <t>E29</t>
        </is>
      </c>
      <c r="B25" s="6" t="inlineStr">
        <is>
          <t>Multi-Subsidiary Tenancy, Onboarding &amp; Extension Platform</t>
        </is>
      </c>
      <c r="C25" s="6" t="inlineStr">
        <is>
          <t>T5 Platform &amp; SRE</t>
        </is>
      </c>
      <c r="D25" s="8" t="n"/>
      <c r="E25" s="8" t="n"/>
      <c r="F25" s="8" t="n"/>
      <c r="G25" s="9" t="inlineStr">
        <is>
          <t>■</t>
        </is>
      </c>
      <c r="H25" s="9" t="inlineStr">
        <is>
          <t>■</t>
        </is>
      </c>
      <c r="I25" s="9" t="inlineStr">
        <is>
          <t>■</t>
        </is>
      </c>
      <c r="J25" s="7" t="inlineStr">
        <is>
          <t>■</t>
        </is>
      </c>
      <c r="K25" s="7" t="inlineStr">
        <is>
          <t>■</t>
        </is>
      </c>
      <c r="L25" s="7" t="inlineStr">
        <is>
          <t>■</t>
        </is>
      </c>
      <c r="M25" s="7" t="inlineStr">
        <is>
          <t>■</t>
        </is>
      </c>
      <c r="N25" s="8" t="n"/>
      <c r="O25" s="8" t="n"/>
      <c r="P25" s="6" t="inlineStr">
        <is>
          <t>Subsidiary onboarded in ≤ 4 weeks</t>
        </is>
      </c>
    </row>
    <row r="26" ht="27" customHeight="1">
      <c r="A26" s="5" t="inlineStr">
        <is>
          <t>E30</t>
        </is>
      </c>
      <c r="B26" s="6" t="inlineStr">
        <is>
          <t>Workforce Health Digital Twin &amp; Capacity Planning</t>
        </is>
      </c>
      <c r="C26" s="6" t="inlineStr">
        <is>
          <t>T6 Data &amp; Analytics</t>
        </is>
      </c>
      <c r="D26" s="8" t="n"/>
      <c r="E26" s="8" t="n"/>
      <c r="F26" s="8" t="n"/>
      <c r="G26" s="8" t="n"/>
      <c r="H26" s="8" t="n"/>
      <c r="I26" s="8" t="n"/>
      <c r="J26" s="7" t="inlineStr">
        <is>
          <t>■</t>
        </is>
      </c>
      <c r="K26" s="7" t="inlineStr">
        <is>
          <t>■</t>
        </is>
      </c>
      <c r="L26" s="7" t="inlineStr">
        <is>
          <t>■</t>
        </is>
      </c>
      <c r="M26" s="7" t="inlineStr">
        <is>
          <t>■</t>
        </is>
      </c>
      <c r="N26" s="7" t="inlineStr">
        <is>
          <t>■</t>
        </is>
      </c>
      <c r="O26" s="7" t="inlineStr">
        <is>
          <t>■</t>
        </is>
      </c>
      <c r="P26" s="6" t="inlineStr">
        <is>
          <t>Readiness dashboard and scenarios</t>
        </is>
      </c>
    </row>
    <row r="27" ht="28.2" customHeight="1">
      <c r="A27" s="5" t="inlineStr">
        <is>
          <t>E31</t>
        </is>
      </c>
      <c r="B27" s="6" t="inlineStr">
        <is>
          <t>Employee Wellbeing Marketplace &amp; Benefits Integration</t>
        </is>
      </c>
      <c r="C27" s="6" t="inlineStr">
        <is>
          <t>T2 Workforce Health &amp; Prevention</t>
        </is>
      </c>
      <c r="D27" s="8" t="n"/>
      <c r="E27" s="8" t="n"/>
      <c r="F27" s="8" t="n"/>
      <c r="G27" s="8" t="n"/>
      <c r="H27" s="8" t="n"/>
      <c r="I27" s="8" t="n"/>
      <c r="J27" s="8" t="n"/>
      <c r="K27" s="7" t="inlineStr">
        <is>
          <t>■</t>
        </is>
      </c>
      <c r="L27" s="7" t="inlineStr">
        <is>
          <t>■</t>
        </is>
      </c>
      <c r="M27" s="7" t="inlineStr">
        <is>
          <t>■</t>
        </is>
      </c>
      <c r="N27" s="7" t="inlineStr">
        <is>
          <t>■</t>
        </is>
      </c>
      <c r="O27" s="7" t="inlineStr">
        <is>
          <t>■</t>
        </is>
      </c>
      <c r="P27" s="6" t="inlineStr">
        <is>
          <t>Three vendors live with DPA</t>
        </is>
      </c>
    </row>
  </sheetData>
  <mergeCells count="3">
    <mergeCell ref="A1:P1"/>
    <mergeCell ref="A3:P3"/>
    <mergeCell ref="A2:P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0" customWidth="1" min="4" max="4"/>
    <col width="16" customWidth="1" min="5" max="5"/>
    <col width="16" customWidth="1" min="6" max="6"/>
  </cols>
  <sheetData>
    <row r="1" ht="17.35" customHeight="1">
      <c r="A1" s="1" t="inlineStr">
        <is>
          <t>Dependencies between epics</t>
        </is>
      </c>
    </row>
    <row r="2" ht="15" customHeight="1">
      <c r="A2" s="2" t="inlineStr">
        <is>
          <t>Predecessor → successor, hard (blocks start or go-live) or soft (reduces value or adds rework)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4" t="inlineStr">
        <is>
          <t>Predecessor</t>
        </is>
      </c>
      <c r="B4" s="4" t="inlineStr">
        <is>
          <t>Successor</t>
        </is>
      </c>
      <c r="C4" s="4" t="inlineStr">
        <is>
          <t>Type</t>
        </is>
      </c>
      <c r="D4" s="4" t="inlineStr">
        <is>
          <t>Reason</t>
        </is>
      </c>
      <c r="E4" s="4" t="inlineStr">
        <is>
          <t>Predecessor status</t>
        </is>
      </c>
      <c r="F4" s="4" t="inlineStr">
        <is>
          <t>Successor horizon</t>
        </is>
      </c>
    </row>
    <row r="5" ht="28.2" customHeight="1">
      <c r="A5" s="8" t="inlineStr">
        <is>
          <t>E15</t>
        </is>
      </c>
      <c r="B5" s="8" t="inlineStr">
        <is>
          <t>E06</t>
        </is>
      </c>
      <c r="C5" s="13" t="inlineStr">
        <is>
          <t>Hard</t>
        </is>
      </c>
      <c r="D5" s="6" t="inlineStr">
        <is>
          <t>Absence feed connectors (HRIS, T&amp;A, crew) – AbsenceFeedConnector is a no-op today</t>
        </is>
      </c>
      <c r="E5" s="9" t="inlineStr">
        <is>
          <t>Partial</t>
        </is>
      </c>
      <c r="F5" s="8" t="inlineStr">
        <is>
          <t>Done – completion H1</t>
        </is>
      </c>
    </row>
    <row r="6" ht="28.2" customHeight="1">
      <c r="A6" s="8" t="inlineStr">
        <is>
          <t>E15</t>
        </is>
      </c>
      <c r="B6" s="8" t="inlineStr">
        <is>
          <t>E05</t>
        </is>
      </c>
      <c r="C6" s="13" t="inlineStr">
        <is>
          <t>Hard</t>
        </is>
      </c>
      <c r="D6" s="6" t="inlineStr">
        <is>
          <t>Rostering transport for the status-only fitness feed (O15)</t>
        </is>
      </c>
      <c r="E6" s="9" t="inlineStr">
        <is>
          <t>Partial</t>
        </is>
      </c>
      <c r="F6" s="8" t="inlineStr">
        <is>
          <t>Done – completion H1</t>
        </is>
      </c>
    </row>
    <row r="7" ht="28.2" customHeight="1">
      <c r="A7" s="8" t="inlineStr">
        <is>
          <t>E15</t>
        </is>
      </c>
      <c r="B7" s="8" t="inlineStr">
        <is>
          <t>E10</t>
        </is>
      </c>
      <c r="C7" s="13" t="inlineStr">
        <is>
          <t>Hard</t>
        </is>
      </c>
      <c r="D7" s="6" t="inlineStr">
        <is>
          <t>Toxicology LIMS onboarding as bound integration client (O30)</t>
        </is>
      </c>
      <c r="E7" s="9" t="inlineStr">
        <is>
          <t>Partial</t>
        </is>
      </c>
      <c r="F7" s="8" t="inlineStr">
        <is>
          <t>Done – completion H1</t>
        </is>
      </c>
    </row>
    <row r="8" ht="28.2" customHeight="1">
      <c r="A8" s="8" t="inlineStr">
        <is>
          <t>E15</t>
        </is>
      </c>
      <c r="B8" s="8" t="inlineStr">
        <is>
          <t>E08</t>
        </is>
      </c>
      <c r="C8" s="13" t="inlineStr">
        <is>
          <t>Hard</t>
        </is>
      </c>
      <c r="D8" s="6" t="inlineStr">
        <is>
          <t>Insurer FNOL, authority e-reporting and ERP connectors (D18, O24)</t>
        </is>
      </c>
      <c r="E8" s="9" t="inlineStr">
        <is>
          <t>Partial</t>
        </is>
      </c>
      <c r="F8" s="8" t="inlineStr">
        <is>
          <t>Done – completion H1</t>
        </is>
      </c>
    </row>
    <row r="9" ht="28.2" customHeight="1">
      <c r="A9" s="8" t="inlineStr">
        <is>
          <t>E15</t>
        </is>
      </c>
      <c r="B9" s="8" t="inlineStr">
        <is>
          <t>E12</t>
        </is>
      </c>
      <c r="C9" s="9" t="inlineStr">
        <is>
          <t>Soft</t>
        </is>
      </c>
      <c r="D9" s="6" t="inlineStr">
        <is>
          <t>Campaign app and wearable aggregator (E12-F04 partial)</t>
        </is>
      </c>
      <c r="E9" s="9" t="inlineStr">
        <is>
          <t>Partial</t>
        </is>
      </c>
      <c r="F9" s="8" t="inlineStr">
        <is>
          <t>Done – completion H1</t>
        </is>
      </c>
    </row>
    <row r="10" ht="28.2" customHeight="1">
      <c r="A10" s="8" t="inlineStr">
        <is>
          <t>E15</t>
        </is>
      </c>
      <c r="B10" s="8" t="inlineStr">
        <is>
          <t>E11</t>
        </is>
      </c>
      <c r="C10" s="13" t="inlineStr">
        <is>
          <t>Hard</t>
        </is>
      </c>
      <c r="D10" s="6" t="inlineStr">
        <is>
          <t>Public-health authority submission (default outbox + e-mail)</t>
        </is>
      </c>
      <c r="E10" s="9" t="inlineStr">
        <is>
          <t>Partial</t>
        </is>
      </c>
      <c r="F10" s="8" t="inlineStr">
        <is>
          <t>Done – completion H1</t>
        </is>
      </c>
    </row>
    <row r="11" ht="28.2" customHeight="1">
      <c r="A11" s="8" t="inlineStr">
        <is>
          <t>E16</t>
        </is>
      </c>
      <c r="B11" s="8" t="inlineStr">
        <is>
          <t>E20</t>
        </is>
      </c>
      <c r="C11" s="13" t="inlineStr">
        <is>
          <t>Hard</t>
        </is>
      </c>
      <c r="D11" s="6" t="inlineStr">
        <is>
          <t>Customer-managed keys and envelope encryption before the PROD server and replica exist (SEC-E09, D5)</t>
        </is>
      </c>
      <c r="E11" s="9" t="inlineStr">
        <is>
          <t>Partial</t>
        </is>
      </c>
      <c r="F11" s="8" t="inlineStr">
        <is>
          <t>H1–H2</t>
        </is>
      </c>
    </row>
    <row r="12" ht="18" customHeight="1">
      <c r="A12" s="8" t="inlineStr">
        <is>
          <t>E19</t>
        </is>
      </c>
      <c r="B12" s="8" t="inlineStr">
        <is>
          <t>E20</t>
        </is>
      </c>
      <c r="C12" s="13" t="inlineStr">
        <is>
          <t>Hard</t>
        </is>
      </c>
      <c r="D12" s="6" t="inlineStr">
        <is>
          <t>Signed-image admission and private control plane for the PROD clusters (SEC-E03, SEC-E04)</t>
        </is>
      </c>
      <c r="E12" s="10" t="inlineStr">
        <is>
          <t>Planned</t>
        </is>
      </c>
      <c r="F12" s="8" t="inlineStr">
        <is>
          <t>H1–H2</t>
        </is>
      </c>
    </row>
    <row r="13" ht="18" customHeight="1">
      <c r="A13" s="8" t="inlineStr">
        <is>
          <t>E20</t>
        </is>
      </c>
      <c r="B13" s="8" t="inlineStr">
        <is>
          <t>Go-live</t>
        </is>
      </c>
      <c r="C13" s="13" t="inlineStr">
        <is>
          <t>Hard</t>
        </is>
      </c>
      <c r="D13" s="6" t="inlineStr">
        <is>
          <t>Two-region topology and first DR drill are Tier-0 go-live conditions</t>
        </is>
      </c>
      <c r="E13" s="10" t="inlineStr">
        <is>
          <t>Planned</t>
        </is>
      </c>
      <c r="F13" s="8" t="inlineStr">
        <is>
          <t>H1</t>
        </is>
      </c>
    </row>
    <row r="14" ht="28.2" customHeight="1">
      <c r="A14" s="8" t="inlineStr">
        <is>
          <t>E19</t>
        </is>
      </c>
      <c r="B14" s="8" t="inlineStr">
        <is>
          <t>Go-live</t>
        </is>
      </c>
      <c r="C14" s="13" t="inlineStr">
        <is>
          <t>Hard</t>
        </is>
      </c>
      <c r="D14" s="6" t="inlineStr">
        <is>
          <t>Go-live conditions G1–G6 (pen test, scan evidence, admission, demo-identity guard, CMK, patch SLAs)</t>
        </is>
      </c>
      <c r="E14" s="10" t="inlineStr">
        <is>
          <t>Planned</t>
        </is>
      </c>
      <c r="F14" s="8" t="inlineStr">
        <is>
          <t>H1</t>
        </is>
      </c>
    </row>
    <row r="15" ht="18" customHeight="1">
      <c r="A15" s="8" t="inlineStr">
        <is>
          <t>E13</t>
        </is>
      </c>
      <c r="B15" s="8" t="inlineStr">
        <is>
          <t>E22</t>
        </is>
      </c>
      <c r="C15" s="13" t="inlineStr">
        <is>
          <t>Hard</t>
        </is>
      </c>
      <c r="D15" s="6" t="inlineStr">
        <is>
          <t>Native mobile builds on the Capacitor shell and the employee app</t>
        </is>
      </c>
      <c r="E15" s="9" t="inlineStr">
        <is>
          <t>Partial</t>
        </is>
      </c>
      <c r="F15" s="8" t="inlineStr">
        <is>
          <t>H1–H2</t>
        </is>
      </c>
    </row>
    <row r="16" ht="18" customHeight="1">
      <c r="A16" s="8" t="inlineStr">
        <is>
          <t>E19</t>
        </is>
      </c>
      <c r="B16" s="8" t="inlineStr">
        <is>
          <t>E22</t>
        </is>
      </c>
      <c r="C16" s="13" t="inlineStr">
        <is>
          <t>Hard</t>
        </is>
      </c>
      <c r="D16" s="6" t="inlineStr">
        <is>
          <t>Mobile hardening and MASVS assessment (SEC-E11)</t>
        </is>
      </c>
      <c r="E16" s="10" t="inlineStr">
        <is>
          <t>Planned</t>
        </is>
      </c>
      <c r="F16" s="8" t="inlineStr">
        <is>
          <t>H1–H2</t>
        </is>
      </c>
    </row>
    <row r="17" ht="18" customHeight="1">
      <c r="A17" s="8" t="inlineStr">
        <is>
          <t>E18</t>
        </is>
      </c>
      <c r="B17" s="8" t="inlineStr">
        <is>
          <t>E21</t>
        </is>
      </c>
      <c r="C17" s="9" t="inlineStr">
        <is>
          <t>Soft</t>
        </is>
      </c>
      <c r="D17" s="6" t="inlineStr">
        <is>
          <t>Languages, templates and station list in master data</t>
        </is>
      </c>
      <c r="E17" s="9" t="inlineStr">
        <is>
          <t>Partial</t>
        </is>
      </c>
      <c r="F17" s="8" t="inlineStr">
        <is>
          <t>H1–H2</t>
        </is>
      </c>
    </row>
    <row r="18" ht="18" customHeight="1">
      <c r="A18" s="8" t="inlineStr">
        <is>
          <t>E22</t>
        </is>
      </c>
      <c r="B18" s="8" t="inlineStr">
        <is>
          <t>E21</t>
        </is>
      </c>
      <c r="C18" s="9" t="inlineStr">
        <is>
          <t>Soft</t>
        </is>
      </c>
      <c r="D18" s="6" t="inlineStr">
        <is>
          <t>Platform accessibility APIs in the native app</t>
        </is>
      </c>
      <c r="E18" s="10" t="inlineStr">
        <is>
          <t>Planned</t>
        </is>
      </c>
      <c r="F18" s="8" t="inlineStr">
        <is>
          <t>H1–H2</t>
        </is>
      </c>
    </row>
    <row r="19" ht="18" customHeight="1">
      <c r="A19" s="8" t="inlineStr">
        <is>
          <t>E15</t>
        </is>
      </c>
      <c r="B19" s="8" t="inlineStr">
        <is>
          <t>E23</t>
        </is>
      </c>
      <c r="C19" s="13" t="inlineStr">
        <is>
          <t>Hard</t>
        </is>
      </c>
      <c r="D19" s="6" t="inlineStr">
        <is>
          <t>Gateway, broker adapter and outbox are the transport of the hub</t>
        </is>
      </c>
      <c r="E19" s="9" t="inlineStr">
        <is>
          <t>Partial</t>
        </is>
      </c>
      <c r="F19" s="8" t="inlineStr">
        <is>
          <t>H1–H3</t>
        </is>
      </c>
    </row>
    <row r="20" ht="18" customHeight="1">
      <c r="A20" s="8" t="inlineStr">
        <is>
          <t>E18</t>
        </is>
      </c>
      <c r="B20" s="8" t="inlineStr">
        <is>
          <t>E23</t>
        </is>
      </c>
      <c r="C20" s="9" t="inlineStr">
        <is>
          <t>Soft</t>
        </is>
      </c>
      <c r="D20" s="6" t="inlineStr">
        <is>
          <t>Terminology registry and value sets</t>
        </is>
      </c>
      <c r="E20" s="9" t="inlineStr">
        <is>
          <t>Partial</t>
        </is>
      </c>
      <c r="F20" s="8" t="inlineStr">
        <is>
          <t>H1–H3</t>
        </is>
      </c>
    </row>
    <row r="21" ht="18" customHeight="1">
      <c r="A21" s="8" t="inlineStr">
        <is>
          <t>E05</t>
        </is>
      </c>
      <c r="B21" s="8" t="inlineStr">
        <is>
          <t>E24</t>
        </is>
      </c>
      <c r="C21" s="13" t="inlineStr">
        <is>
          <t>Hard</t>
        </is>
      </c>
      <c r="D21" s="6" t="inlineStr">
        <is>
          <t>Crew assessment and status-only roster feed</t>
        </is>
      </c>
      <c r="E21" s="7" t="inlineStr">
        <is>
          <t>Done</t>
        </is>
      </c>
      <c r="F21" s="8" t="inlineStr">
        <is>
          <t>H1–H2</t>
        </is>
      </c>
    </row>
    <row r="22" ht="18" customHeight="1">
      <c r="A22" s="8" t="inlineStr">
        <is>
          <t>E07</t>
        </is>
      </c>
      <c r="B22" s="8" t="inlineStr">
        <is>
          <t>E24</t>
        </is>
      </c>
      <c r="C22" s="13" t="inlineStr">
        <is>
          <t>Hard</t>
        </is>
      </c>
      <c r="D22" s="6" t="inlineStr">
        <is>
          <t>Crew medical certificates and validity</t>
        </is>
      </c>
      <c r="E22" s="7" t="inlineStr">
        <is>
          <t>Done</t>
        </is>
      </c>
      <c r="F22" s="8" t="inlineStr">
        <is>
          <t>H1–H2</t>
        </is>
      </c>
    </row>
    <row r="23" ht="18" customHeight="1">
      <c r="A23" s="8" t="inlineStr">
        <is>
          <t>E23</t>
        </is>
      </c>
      <c r="B23" s="8" t="inlineStr">
        <is>
          <t>E24</t>
        </is>
      </c>
      <c r="C23" s="9" t="inlineStr">
        <is>
          <t>Soft</t>
        </is>
      </c>
      <c r="D23" s="6" t="inlineStr">
        <is>
          <t>Document exchange and FHIR profiles for authority interfaces offering APIs</t>
        </is>
      </c>
      <c r="E23" s="10" t="inlineStr">
        <is>
          <t>Planned</t>
        </is>
      </c>
      <c r="F23" s="8" t="inlineStr">
        <is>
          <t>H1–H2</t>
        </is>
      </c>
    </row>
    <row r="24" ht="18" customHeight="1">
      <c r="A24" s="8" t="inlineStr">
        <is>
          <t>E15</t>
        </is>
      </c>
      <c r="B24" s="8" t="inlineStr">
        <is>
          <t>E25</t>
        </is>
      </c>
      <c r="C24" s="13" t="inlineStr">
        <is>
          <t>Hard</t>
        </is>
      </c>
      <c r="D24" s="6" t="inlineStr">
        <is>
          <t>FRMS and rostering transport</t>
        </is>
      </c>
      <c r="E24" s="9" t="inlineStr">
        <is>
          <t>Partial</t>
        </is>
      </c>
      <c r="F24" s="8" t="inlineStr">
        <is>
          <t>H2</t>
        </is>
      </c>
    </row>
    <row r="25" ht="18" customHeight="1">
      <c r="A25" s="8" t="inlineStr">
        <is>
          <t>E26</t>
        </is>
      </c>
      <c r="B25" s="8" t="inlineStr">
        <is>
          <t>E25</t>
        </is>
      </c>
      <c r="C25" s="9" t="inlineStr">
        <is>
          <t>Soft</t>
        </is>
      </c>
      <c r="D25" s="6" t="inlineStr">
        <is>
          <t>Aggregated fatigue indicators via the data platform</t>
        </is>
      </c>
      <c r="E25" s="10" t="inlineStr">
        <is>
          <t>Planned</t>
        </is>
      </c>
      <c r="F25" s="8" t="inlineStr">
        <is>
          <t>H2</t>
        </is>
      </c>
    </row>
    <row r="26" ht="18" customHeight="1">
      <c r="A26" s="8" t="inlineStr">
        <is>
          <t>E17</t>
        </is>
      </c>
      <c r="B26" s="8" t="inlineStr">
        <is>
          <t>E26</t>
        </is>
      </c>
      <c r="C26" s="13" t="inlineStr">
        <is>
          <t>Hard</t>
        </is>
      </c>
      <c r="D26" s="6" t="inlineStr">
        <is>
          <t>De-identified view, KPI API and suppression are the starting point</t>
        </is>
      </c>
      <c r="E26" s="9" t="inlineStr">
        <is>
          <t>Partial</t>
        </is>
      </c>
      <c r="F26" s="8" t="inlineStr">
        <is>
          <t>H1–H2</t>
        </is>
      </c>
    </row>
    <row r="27" ht="18" customHeight="1">
      <c r="A27" s="8" t="inlineStr">
        <is>
          <t>E15</t>
        </is>
      </c>
      <c r="B27" s="8" t="inlineStr">
        <is>
          <t>E26</t>
        </is>
      </c>
      <c r="C27" s="13" t="inlineStr">
        <is>
          <t>Hard</t>
        </is>
      </c>
      <c r="D27" s="6" t="inlineStr">
        <is>
          <t>CDC / broker feed into the analytics store</t>
        </is>
      </c>
      <c r="E27" s="9" t="inlineStr">
        <is>
          <t>Partial</t>
        </is>
      </c>
      <c r="F27" s="8" t="inlineStr">
        <is>
          <t>H1–H2</t>
        </is>
      </c>
    </row>
    <row r="28" ht="18" customHeight="1">
      <c r="A28" s="8" t="inlineStr">
        <is>
          <t>E20</t>
        </is>
      </c>
      <c r="B28" s="8" t="inlineStr">
        <is>
          <t>E26</t>
        </is>
      </c>
      <c r="C28" s="9" t="inlineStr">
        <is>
          <t>Soft</t>
        </is>
      </c>
      <c r="D28" s="6" t="inlineStr">
        <is>
          <t>In-country analytics store in the approved region pair</t>
        </is>
      </c>
      <c r="E28" s="10" t="inlineStr">
        <is>
          <t>Planned</t>
        </is>
      </c>
      <c r="F28" s="8" t="inlineStr">
        <is>
          <t>H1–H2</t>
        </is>
      </c>
    </row>
    <row r="29" ht="18" customHeight="1">
      <c r="A29" s="8" t="inlineStr">
        <is>
          <t>E26</t>
        </is>
      </c>
      <c r="B29" s="8" t="inlineStr">
        <is>
          <t>E27</t>
        </is>
      </c>
      <c r="C29" s="13" t="inlineStr">
        <is>
          <t>Hard</t>
        </is>
      </c>
      <c r="D29" s="6" t="inlineStr">
        <is>
          <t>No model without the governed, pseudonymised data platform</t>
        </is>
      </c>
      <c r="E29" s="10" t="inlineStr">
        <is>
          <t>Planned</t>
        </is>
      </c>
      <c r="F29" s="8" t="inlineStr">
        <is>
          <t>H2–H3</t>
        </is>
      </c>
    </row>
    <row r="30" ht="18" customHeight="1">
      <c r="A30" s="8" t="inlineStr">
        <is>
          <t>E06</t>
        </is>
      </c>
      <c r="B30" s="8" t="inlineStr">
        <is>
          <t>E27</t>
        </is>
      </c>
      <c r="C30" s="13" t="inlineStr">
        <is>
          <t>Hard</t>
        </is>
      </c>
      <c r="D30" s="6" t="inlineStr">
        <is>
          <t>Early-intervention queue is where signals appear</t>
        </is>
      </c>
      <c r="E30" s="7" t="inlineStr">
        <is>
          <t>Done</t>
        </is>
      </c>
      <c r="F30" s="8" t="inlineStr">
        <is>
          <t>H2–H3</t>
        </is>
      </c>
    </row>
    <row r="31" ht="18" customHeight="1">
      <c r="A31" s="8" t="inlineStr">
        <is>
          <t>E27</t>
        </is>
      </c>
      <c r="B31" s="8" t="inlineStr">
        <is>
          <t>E28</t>
        </is>
      </c>
      <c r="C31" s="9" t="inlineStr">
        <is>
          <t>Soft</t>
        </is>
      </c>
      <c r="D31" s="6" t="inlineStr">
        <is>
          <t>Shared AI governance board and clinical safety process</t>
        </is>
      </c>
      <c r="E31" s="10" t="inlineStr">
        <is>
          <t>Planned</t>
        </is>
      </c>
      <c r="F31" s="8" t="inlineStr">
        <is>
          <t>H1–H2</t>
        </is>
      </c>
    </row>
    <row r="32" ht="18" customHeight="1">
      <c r="A32" s="8" t="inlineStr">
        <is>
          <t>E03</t>
        </is>
      </c>
      <c r="B32" s="8" t="inlineStr">
        <is>
          <t>E28</t>
        </is>
      </c>
      <c r="C32" s="13" t="inlineStr">
        <is>
          <t>Hard</t>
        </is>
      </c>
      <c r="D32" s="6" t="inlineStr">
        <is>
          <t>AiDocumentationProvider extension point, consent purpose and audit</t>
        </is>
      </c>
      <c r="E32" s="7" t="inlineStr">
        <is>
          <t>Done</t>
        </is>
      </c>
      <c r="F32" s="8" t="inlineStr">
        <is>
          <t>H1–H2</t>
        </is>
      </c>
    </row>
    <row r="33" ht="18" customHeight="1">
      <c r="A33" s="8" t="inlineStr">
        <is>
          <t>E21</t>
        </is>
      </c>
      <c r="B33" s="8" t="inlineStr">
        <is>
          <t>E28</t>
        </is>
      </c>
      <c r="C33" s="9" t="inlineStr">
        <is>
          <t>Soft</t>
        </is>
      </c>
      <c r="D33" s="6" t="inlineStr">
        <is>
          <t>Arabic language support</t>
        </is>
      </c>
      <c r="E33" s="10" t="inlineStr">
        <is>
          <t>Planned</t>
        </is>
      </c>
      <c r="F33" s="8" t="inlineStr">
        <is>
          <t>H1–H2</t>
        </is>
      </c>
    </row>
    <row r="34" ht="18" customHeight="1">
      <c r="A34" s="8" t="inlineStr">
        <is>
          <t>E18</t>
        </is>
      </c>
      <c r="B34" s="8" t="inlineStr">
        <is>
          <t>E29</t>
        </is>
      </c>
      <c r="C34" s="13" t="inlineStr">
        <is>
          <t>Hard</t>
        </is>
      </c>
      <c r="D34" s="6" t="inlineStr">
        <is>
          <t>Tenant configuration and content packs</t>
        </is>
      </c>
      <c r="E34" s="9" t="inlineStr">
        <is>
          <t>Partial</t>
        </is>
      </c>
      <c r="F34" s="8" t="inlineStr">
        <is>
          <t>H2–H3</t>
        </is>
      </c>
    </row>
    <row r="35" ht="18" customHeight="1">
      <c r="A35" s="8" t="inlineStr">
        <is>
          <t>E20</t>
        </is>
      </c>
      <c r="B35" s="8" t="inlineStr">
        <is>
          <t>E29</t>
        </is>
      </c>
      <c r="C35" s="13" t="inlineStr">
        <is>
          <t>Hard</t>
        </is>
      </c>
      <c r="D35" s="6" t="inlineStr">
        <is>
          <t>Instances, overlays and upgrade orchestration</t>
        </is>
      </c>
      <c r="E35" s="10" t="inlineStr">
        <is>
          <t>Planned</t>
        </is>
      </c>
      <c r="F35" s="8" t="inlineStr">
        <is>
          <t>H2–H3</t>
        </is>
      </c>
    </row>
    <row r="36" ht="18" customHeight="1">
      <c r="A36" s="8" t="inlineStr">
        <is>
          <t>E19</t>
        </is>
      </c>
      <c r="B36" s="8" t="inlineStr">
        <is>
          <t>E29</t>
        </is>
      </c>
      <c r="C36" s="13" t="inlineStr">
        <is>
          <t>Hard</t>
        </is>
      </c>
      <c r="D36" s="6" t="inlineStr">
        <is>
          <t>Extension signing and tenant isolation in the pen-test scope</t>
        </is>
      </c>
      <c r="E36" s="10" t="inlineStr">
        <is>
          <t>Planned</t>
        </is>
      </c>
      <c r="F36" s="8" t="inlineStr">
        <is>
          <t>H2–H3</t>
        </is>
      </c>
    </row>
    <row r="37" ht="18" customHeight="1">
      <c r="A37" s="8" t="inlineStr">
        <is>
          <t>E26</t>
        </is>
      </c>
      <c r="B37" s="8" t="inlineStr">
        <is>
          <t>E30</t>
        </is>
      </c>
      <c r="C37" s="13" t="inlineStr">
        <is>
          <t>Hard</t>
        </is>
      </c>
      <c r="D37" s="6" t="inlineStr">
        <is>
          <t>Aggregated readiness data</t>
        </is>
      </c>
      <c r="E37" s="10" t="inlineStr">
        <is>
          <t>Planned</t>
        </is>
      </c>
      <c r="F37" s="8" t="inlineStr">
        <is>
          <t>H3</t>
        </is>
      </c>
    </row>
    <row r="38" ht="18" customHeight="1">
      <c r="A38" s="8" t="inlineStr">
        <is>
          <t>E27</t>
        </is>
      </c>
      <c r="B38" s="8" t="inlineStr">
        <is>
          <t>E30</t>
        </is>
      </c>
      <c r="C38" s="9" t="inlineStr">
        <is>
          <t>Soft</t>
        </is>
      </c>
      <c r="D38" s="6" t="inlineStr">
        <is>
          <t>Demand forecasts</t>
        </is>
      </c>
      <c r="E38" s="10" t="inlineStr">
        <is>
          <t>Planned</t>
        </is>
      </c>
      <c r="F38" s="8" t="inlineStr">
        <is>
          <t>H3</t>
        </is>
      </c>
    </row>
    <row r="39" ht="18" customHeight="1">
      <c r="A39" s="8" t="inlineStr">
        <is>
          <t>E14</t>
        </is>
      </c>
      <c r="B39" s="8" t="inlineStr">
        <is>
          <t>E30</t>
        </is>
      </c>
      <c r="C39" s="13" t="inlineStr">
        <is>
          <t>Hard</t>
        </is>
      </c>
      <c r="D39" s="6" t="inlineStr">
        <is>
          <t>Clinic capacity model</t>
        </is>
      </c>
      <c r="E39" s="7" t="inlineStr">
        <is>
          <t>Done</t>
        </is>
      </c>
      <c r="F39" s="8" t="inlineStr">
        <is>
          <t>H3</t>
        </is>
      </c>
    </row>
    <row r="40" ht="18" customHeight="1">
      <c r="A40" s="8" t="inlineStr">
        <is>
          <t>E12</t>
        </is>
      </c>
      <c r="B40" s="8" t="inlineStr">
        <is>
          <t>E31</t>
        </is>
      </c>
      <c r="C40" s="13" t="inlineStr">
        <is>
          <t>Hard</t>
        </is>
      </c>
      <c r="D40" s="6" t="inlineStr">
        <is>
          <t>Campaign app, wearable and participation patterns</t>
        </is>
      </c>
      <c r="E40" s="7" t="inlineStr">
        <is>
          <t>Done</t>
        </is>
      </c>
      <c r="F40" s="8" t="inlineStr">
        <is>
          <t>H3</t>
        </is>
      </c>
    </row>
    <row r="41" ht="18" customHeight="1">
      <c r="A41" s="8" t="inlineStr">
        <is>
          <t>E26</t>
        </is>
      </c>
      <c r="B41" s="8" t="inlineStr">
        <is>
          <t>E31</t>
        </is>
      </c>
      <c r="C41" s="9" t="inlineStr">
        <is>
          <t>Soft</t>
        </is>
      </c>
      <c r="D41" s="6" t="inlineStr">
        <is>
          <t>Spend and outcome analytics (ROI)</t>
        </is>
      </c>
      <c r="E41" s="10" t="inlineStr">
        <is>
          <t>Planned</t>
        </is>
      </c>
      <c r="F41" s="8" t="inlineStr">
        <is>
          <t>H3</t>
        </is>
      </c>
    </row>
  </sheetData>
  <autoFilter ref="A4:F41"/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17.35" customHeight="1">
      <c r="A1" s="1" t="inlineStr">
        <is>
          <t>Capacity plan – indicative team-sprints (not prices)</t>
        </is>
      </c>
    </row>
    <row r="2" ht="15" customHeight="1">
      <c r="A2" s="2" t="inlineStr">
        <is>
          <t>Velocity 30 SP per team per two-week sprint; planning allowance ×1.5 / ×2.0 / ×2.5 for H1 / H2 / H3 epics (refinement, non-functional work, defects); 6 product teams in H1, 5 in H2, 4 in H3; 35 % of capacity reserved for run, defects and sign-off support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4" t="inlineStr">
        <is>
          <t>Epic</t>
        </is>
      </c>
      <c r="B4" s="4" t="inlineStr">
        <is>
          <t>Name</t>
        </is>
      </c>
      <c r="C4" s="4" t="inlineStr">
        <is>
          <t>Team</t>
        </is>
      </c>
      <c r="D4" s="4" t="inlineStr">
        <is>
          <t>Horizon</t>
        </is>
      </c>
      <c r="E4" s="4" t="inlineStr">
        <is>
          <t>Indicative SP</t>
        </is>
      </c>
      <c r="F4" s="4" t="inlineStr">
        <is>
          <t>Planning team-sprints</t>
        </is>
      </c>
      <c r="G4" s="4" t="inlineStr">
        <is>
          <t>Quarters</t>
        </is>
      </c>
      <c r="H4" s="4" t="inlineStr">
        <is>
          <t>Q1 Nov–Jan 27</t>
        </is>
      </c>
      <c r="I4" s="4" t="inlineStr">
        <is>
          <t>Q2 Feb–Apr 27</t>
        </is>
      </c>
      <c r="J4" s="4" t="inlineStr">
        <is>
          <t>Q3 May–Jul 27</t>
        </is>
      </c>
      <c r="K4" s="4" t="inlineStr">
        <is>
          <t>Q4 Aug–Oct 27</t>
        </is>
      </c>
      <c r="L4" s="4" t="inlineStr">
        <is>
          <t>Q5 Nov–Jan 28</t>
        </is>
      </c>
      <c r="M4" s="4" t="inlineStr">
        <is>
          <t>Q6 Feb–Apr 28</t>
        </is>
      </c>
      <c r="N4" s="4" t="inlineStr">
        <is>
          <t>Q7 May–Jul 28</t>
        </is>
      </c>
      <c r="O4" s="4" t="inlineStr">
        <is>
          <t>Q8 Aug–Oct 28</t>
        </is>
      </c>
      <c r="P4" s="4" t="inlineStr">
        <is>
          <t>Q9 Nov–Jan 29</t>
        </is>
      </c>
      <c r="Q4" s="4" t="inlineStr">
        <is>
          <t>Q10 Feb–Apr 29</t>
        </is>
      </c>
      <c r="R4" s="4" t="inlineStr">
        <is>
          <t>Q11 May–Jul 29</t>
        </is>
      </c>
      <c r="S4" s="4" t="inlineStr">
        <is>
          <t>Q12 Aug–Oct 29</t>
        </is>
      </c>
    </row>
    <row r="5" ht="53.4" customHeight="1">
      <c r="A5" s="8" t="inlineStr">
        <is>
          <t>E13</t>
        </is>
      </c>
      <c r="B5" s="6" t="inlineStr">
        <is>
          <t>Store-ready mobile build (secure storage, MAM SDK registration), status-only screens for crew scheduling and hygiene manager, per-user channel preferences</t>
        </is>
      </c>
      <c r="C5" s="6" t="inlineStr">
        <is>
          <t>T3 Experience &amp; Mobile</t>
        </is>
      </c>
      <c r="D5" s="8" t="inlineStr">
        <is>
          <t>H1</t>
        </is>
      </c>
      <c r="E5" s="8" t="n"/>
      <c r="F5" s="14" t="n">
        <v>4</v>
      </c>
      <c r="G5" s="8" t="inlineStr">
        <is>
          <t>1–2</t>
        </is>
      </c>
      <c r="H5" s="13">
        <f>ROUND($F5/2,1)</f>
        <v/>
      </c>
      <c r="I5" s="13">
        <f>ROUND($F5/2,1)</f>
        <v/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 ht="78.59999999999999" customHeight="1">
      <c r="A6" s="8" t="inlineStr">
        <is>
          <t>E15</t>
        </is>
      </c>
      <c r="B6" s="6" t="inlineStr">
        <is>
          <t>Broker adapter (D3) and 12 production connectors: HRIS, rostering / duty feed, EHS transport, LIMS, insurer / TPA FNOL, authority e-reporting, ERP, EAP, campaign app, wearable aggregator, public-health authority, SMS gateway</t>
        </is>
      </c>
      <c r="C6" s="6" t="inlineStr">
        <is>
          <t>T4 Integration &amp; Interoperability</t>
        </is>
      </c>
      <c r="D6" s="8" t="inlineStr">
        <is>
          <t>H1</t>
        </is>
      </c>
      <c r="E6" s="8" t="n"/>
      <c r="F6" s="14" t="n">
        <v>22</v>
      </c>
      <c r="G6" s="8" t="inlineStr">
        <is>
          <t>1–3</t>
        </is>
      </c>
      <c r="H6" s="13">
        <f>ROUND($F6/3,1)</f>
        <v/>
      </c>
      <c r="I6" s="13">
        <f>ROUND($F6/3,1)</f>
        <v/>
      </c>
      <c r="J6" s="9">
        <f>ROUND($F6/3,1)</f>
        <v/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 ht="53.4" customHeight="1">
      <c r="A7" s="8" t="inlineStr">
        <is>
          <t>E16</t>
        </is>
      </c>
      <c r="B7" s="6" t="inlineStr">
        <is>
          <t>MFA enrolment evidence, envelope encryption + re-encryption job, audit hash anchoring and SIEM export, retention purge jobs for OH records after DPO approval</t>
        </is>
      </c>
      <c r="C7" s="6" t="inlineStr">
        <is>
          <t>T5 Platform &amp; SRE</t>
        </is>
      </c>
      <c r="D7" s="8" t="inlineStr">
        <is>
          <t>H1</t>
        </is>
      </c>
      <c r="E7" s="8" t="n"/>
      <c r="F7" s="14" t="n">
        <v>7</v>
      </c>
      <c r="G7" s="8" t="inlineStr">
        <is>
          <t>1–2</t>
        </is>
      </c>
      <c r="H7" s="13">
        <f>ROUND($F7/2,1)</f>
        <v/>
      </c>
      <c r="I7" s="13">
        <f>ROUND($F7/2,1)</f>
        <v/>
      </c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 ht="40.8" customHeight="1">
      <c r="A8" s="8" t="inlineStr">
        <is>
          <t>E17</t>
        </is>
      </c>
      <c r="B8" s="6" t="inlineStr">
        <is>
          <t>Read-only reporting role, outstanding client KPIs on the current KPI API, warehouse feed groundwork shared with E26</t>
        </is>
      </c>
      <c r="C8" s="6" t="inlineStr">
        <is>
          <t>T6 Data &amp; Analytics</t>
        </is>
      </c>
      <c r="D8" s="8" t="inlineStr">
        <is>
          <t>H1</t>
        </is>
      </c>
      <c r="E8" s="8" t="n"/>
      <c r="F8" s="14" t="n">
        <v>4</v>
      </c>
      <c r="G8" s="8" t="inlineStr">
        <is>
          <t>1–2</t>
        </is>
      </c>
      <c r="H8" s="13">
        <f>ROUND($F8/2,1)</f>
        <v/>
      </c>
      <c r="I8" s="13">
        <f>ROUND($F8/2,1)</f>
        <v/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 ht="40.8" customHeight="1">
      <c r="A9" s="8" t="inlineStr">
        <is>
          <t>E18</t>
        </is>
      </c>
      <c r="B9" s="6" t="inlineStr">
        <is>
          <t>Business / site calendar, OH staff roster feed, maker-checker on configuration changes, feature-flag governance</t>
        </is>
      </c>
      <c r="C9" s="6" t="inlineStr">
        <is>
          <t>T5 Platform &amp; SRE</t>
        </is>
      </c>
      <c r="D9" s="8" t="inlineStr">
        <is>
          <t>H1</t>
        </is>
      </c>
      <c r="E9" s="8" t="n"/>
      <c r="F9" s="14" t="n">
        <v>5</v>
      </c>
      <c r="G9" s="8" t="inlineStr">
        <is>
          <t>1–2</t>
        </is>
      </c>
      <c r="H9" s="13">
        <f>ROUND($F9/2,1)</f>
        <v/>
      </c>
      <c r="I9" s="13">
        <f>ROUND($F9/2,1)</f>
        <v/>
      </c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 ht="40.8" customHeight="1">
      <c r="A10" s="8" t="inlineStr">
        <is>
          <t>E19</t>
        </is>
      </c>
      <c r="B10" s="6" t="inlineStr">
        <is>
          <t>Security Hardening &amp; Assurance – 46 backlog items, 256 indicative SP (Now / Next in H1, Later in H2)</t>
        </is>
      </c>
      <c r="C10" s="6" t="inlineStr">
        <is>
          <t>T5 Platform &amp; SRE + security champions</t>
        </is>
      </c>
      <c r="D10" s="8" t="inlineStr">
        <is>
          <t>H1–H2</t>
        </is>
      </c>
      <c r="E10" s="8" t="n">
        <v>256</v>
      </c>
      <c r="F10" s="14" t="n">
        <v>9</v>
      </c>
      <c r="G10" s="8" t="inlineStr">
        <is>
          <t>1–4</t>
        </is>
      </c>
      <c r="H10" s="13">
        <f>ROUND($F10/4,1)</f>
        <v/>
      </c>
      <c r="I10" s="13">
        <f>ROUND($F10/4,1)</f>
        <v/>
      </c>
      <c r="J10" s="9">
        <f>ROUND($F10/4,1)</f>
        <v/>
      </c>
      <c r="K10" s="9">
        <f>ROUND($F10/4,1)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</row>
    <row r="11" ht="28.2" customHeight="1">
      <c r="A11" s="8" t="inlineStr">
        <is>
          <t>E20</t>
        </is>
      </c>
      <c r="B11" s="6" t="inlineStr">
        <is>
          <t>Resilience &amp; Tier-0 Operations (SRE)</t>
        </is>
      </c>
      <c r="C11" s="6" t="inlineStr">
        <is>
          <t>T5 Platform &amp; SRE</t>
        </is>
      </c>
      <c r="D11" s="8" t="inlineStr">
        <is>
          <t>H1–H2</t>
        </is>
      </c>
      <c r="E11" s="8" t="n">
        <v>107</v>
      </c>
      <c r="F11" s="14">
        <f>ROUNDUP(E11*1.5/30,0)</f>
        <v/>
      </c>
      <c r="G11" s="8" t="inlineStr">
        <is>
          <t>1–4</t>
        </is>
      </c>
      <c r="H11" s="13">
        <f>ROUND($F11/4,1)</f>
        <v/>
      </c>
      <c r="I11" s="13">
        <f>ROUND($F11/4,1)</f>
        <v/>
      </c>
      <c r="J11" s="9">
        <f>ROUND($F11/4,1)</f>
        <v/>
      </c>
      <c r="K11" s="9">
        <f>ROUND($F11/4,1)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</row>
    <row r="12" ht="28.2" customHeight="1">
      <c r="A12" s="8" t="inlineStr">
        <is>
          <t>E21</t>
        </is>
      </c>
      <c r="B12" s="6" t="inlineStr">
        <is>
          <t>Accessibility &amp; Internationalisation</t>
        </is>
      </c>
      <c r="C12" s="6" t="inlineStr">
        <is>
          <t>T3 Experience &amp; Mobile</t>
        </is>
      </c>
      <c r="D12" s="8" t="inlineStr">
        <is>
          <t>H1–H2</t>
        </is>
      </c>
      <c r="E12" s="8" t="n">
        <v>79</v>
      </c>
      <c r="F12" s="14">
        <f>ROUNDUP(E12*1.5/30,0)</f>
        <v/>
      </c>
      <c r="G12" s="8" t="inlineStr">
        <is>
          <t>2–5</t>
        </is>
      </c>
      <c r="H12" s="8" t="n"/>
      <c r="I12" s="13">
        <f>ROUND($F12/4,1)</f>
        <v/>
      </c>
      <c r="J12" s="9">
        <f>ROUND($F12/4,1)</f>
        <v/>
      </c>
      <c r="K12" s="9">
        <f>ROUND($F12/4,1)</f>
        <v/>
      </c>
      <c r="L12" s="9">
        <f>ROUND($F12/4,1)</f>
        <v/>
      </c>
      <c r="M12" s="8" t="n"/>
      <c r="N12" s="8" t="n"/>
      <c r="O12" s="8" t="n"/>
      <c r="P12" s="8" t="n"/>
      <c r="Q12" s="8" t="n"/>
      <c r="R12" s="8" t="n"/>
      <c r="S12" s="8" t="n"/>
    </row>
    <row r="13" ht="28.2" customHeight="1">
      <c r="A13" s="8" t="inlineStr">
        <is>
          <t>E22</t>
        </is>
      </c>
      <c r="B13" s="6" t="inlineStr">
        <is>
          <t>Native Mobile, Offline &amp; Field Capability</t>
        </is>
      </c>
      <c r="C13" s="6" t="inlineStr">
        <is>
          <t>T3 Experience &amp; Mobile</t>
        </is>
      </c>
      <c r="D13" s="8" t="inlineStr">
        <is>
          <t>H1–H2</t>
        </is>
      </c>
      <c r="E13" s="8" t="n">
        <v>75</v>
      </c>
      <c r="F13" s="14">
        <f>ROUNDUP(E13*1.5/30,0)</f>
        <v/>
      </c>
      <c r="G13" s="8" t="inlineStr">
        <is>
          <t>1–5</t>
        </is>
      </c>
      <c r="H13" s="13">
        <f>ROUND($F13/5,1)</f>
        <v/>
      </c>
      <c r="I13" s="13">
        <f>ROUND($F13/5,1)</f>
        <v/>
      </c>
      <c r="J13" s="9">
        <f>ROUND($F13/5,1)</f>
        <v/>
      </c>
      <c r="K13" s="9">
        <f>ROUND($F13/5,1)</f>
        <v/>
      </c>
      <c r="L13" s="9">
        <f>ROUND($F13/5,1)</f>
        <v/>
      </c>
      <c r="M13" s="8" t="n"/>
      <c r="N13" s="8" t="n"/>
      <c r="O13" s="8" t="n"/>
      <c r="P13" s="8" t="n"/>
      <c r="Q13" s="8" t="n"/>
      <c r="R13" s="8" t="n"/>
      <c r="S13" s="8" t="n"/>
    </row>
    <row r="14" ht="28.2" customHeight="1">
      <c r="A14" s="8" t="inlineStr">
        <is>
          <t>E23</t>
        </is>
      </c>
      <c r="B14" s="6" t="inlineStr">
        <is>
          <t>Interoperability Hub (FHIR, IHE, HL7 v2, national records)</t>
        </is>
      </c>
      <c r="C14" s="6" t="inlineStr">
        <is>
          <t>T4 Integration &amp; Interoperability</t>
        </is>
      </c>
      <c r="D14" s="8" t="inlineStr">
        <is>
          <t>H1–H3</t>
        </is>
      </c>
      <c r="E14" s="8" t="n">
        <v>100</v>
      </c>
      <c r="F14" s="14">
        <f>ROUNDUP(E14*2.0/30,0)</f>
        <v/>
      </c>
      <c r="G14" s="8" t="inlineStr">
        <is>
          <t>2–8</t>
        </is>
      </c>
      <c r="H14" s="8" t="n"/>
      <c r="I14" s="13">
        <f>ROUND($F14/7,1)</f>
        <v/>
      </c>
      <c r="J14" s="9">
        <f>ROUND($F14/7,1)</f>
        <v/>
      </c>
      <c r="K14" s="9">
        <f>ROUND($F14/7,1)</f>
        <v/>
      </c>
      <c r="L14" s="9">
        <f>ROUND($F14/7,1)</f>
        <v/>
      </c>
      <c r="M14" s="9">
        <f>ROUND($F14/7,1)</f>
        <v/>
      </c>
      <c r="N14" s="7">
        <f>ROUND($F14/7,1)</f>
        <v/>
      </c>
      <c r="O14" s="7">
        <f>ROUND($F14/7,1)</f>
        <v/>
      </c>
      <c r="P14" s="8" t="n"/>
      <c r="Q14" s="8" t="n"/>
      <c r="R14" s="8" t="n"/>
      <c r="S14" s="8" t="n"/>
    </row>
    <row r="15" ht="28.2" customHeight="1">
      <c r="A15" s="8" t="inlineStr">
        <is>
          <t>E24</t>
        </is>
      </c>
      <c r="B15" s="6" t="inlineStr">
        <is>
          <t>Aviation Medical Certification &amp; Regulator Interface</t>
        </is>
      </c>
      <c r="C15" s="6" t="inlineStr">
        <is>
          <t>T1 Clinical Care</t>
        </is>
      </c>
      <c r="D15" s="8" t="inlineStr">
        <is>
          <t>H1–H2</t>
        </is>
      </c>
      <c r="E15" s="8" t="n">
        <v>63</v>
      </c>
      <c r="F15" s="14">
        <f>ROUNDUP(E15*2.0/30,0)</f>
        <v/>
      </c>
      <c r="G15" s="8" t="inlineStr">
        <is>
          <t>2–6</t>
        </is>
      </c>
      <c r="H15" s="8" t="n"/>
      <c r="I15" s="13">
        <f>ROUND($F15/5,1)</f>
        <v/>
      </c>
      <c r="J15" s="9">
        <f>ROUND($F15/5,1)</f>
        <v/>
      </c>
      <c r="K15" s="9">
        <f>ROUND($F15/5,1)</f>
        <v/>
      </c>
      <c r="L15" s="9">
        <f>ROUND($F15/5,1)</f>
        <v/>
      </c>
      <c r="M15" s="9">
        <f>ROUND($F15/5,1)</f>
        <v/>
      </c>
      <c r="N15" s="8" t="n"/>
      <c r="O15" s="8" t="n"/>
      <c r="P15" s="8" t="n"/>
      <c r="Q15" s="8" t="n"/>
      <c r="R15" s="8" t="n"/>
      <c r="S15" s="8" t="n"/>
    </row>
    <row r="16" ht="28.2" customHeight="1">
      <c r="A16" s="8" t="inlineStr">
        <is>
          <t>E25</t>
        </is>
      </c>
      <c r="B16" s="6" t="inlineStr">
        <is>
          <t>Fatigue Risk &amp; Shift-Work Health (FRMS integration)</t>
        </is>
      </c>
      <c r="C16" s="6" t="inlineStr">
        <is>
          <t>T2 Workforce Health &amp; Prevention</t>
        </is>
      </c>
      <c r="D16" s="8" t="inlineStr">
        <is>
          <t>H2</t>
        </is>
      </c>
      <c r="E16" s="8" t="n">
        <v>47</v>
      </c>
      <c r="F16" s="14">
        <f>ROUNDUP(E16*2.0/30,0)</f>
        <v/>
      </c>
      <c r="G16" s="8" t="inlineStr">
        <is>
          <t>4–7</t>
        </is>
      </c>
      <c r="H16" s="8" t="n"/>
      <c r="I16" s="8" t="n"/>
      <c r="J16" s="8" t="n"/>
      <c r="K16" s="9">
        <f>ROUND($F16/4,1)</f>
        <v/>
      </c>
      <c r="L16" s="9">
        <f>ROUND($F16/4,1)</f>
        <v/>
      </c>
      <c r="M16" s="9">
        <f>ROUND($F16/4,1)</f>
        <v/>
      </c>
      <c r="N16" s="7">
        <f>ROUND($F16/4,1)</f>
        <v/>
      </c>
      <c r="O16" s="8" t="n"/>
      <c r="P16" s="8" t="n"/>
      <c r="Q16" s="8" t="n"/>
      <c r="R16" s="8" t="n"/>
      <c r="S16" s="8" t="n"/>
    </row>
    <row r="17" ht="28.2" customHeight="1">
      <c r="A17" s="8" t="inlineStr">
        <is>
          <t>E26</t>
        </is>
      </c>
      <c r="B17" s="6" t="inlineStr">
        <is>
          <t>Data Platform &amp; Research-Grade De-identified Datasets</t>
        </is>
      </c>
      <c r="C17" s="6" t="inlineStr">
        <is>
          <t>T6 Data &amp; Analytics</t>
        </is>
      </c>
      <c r="D17" s="8" t="inlineStr">
        <is>
          <t>H1–H2</t>
        </is>
      </c>
      <c r="E17" s="8" t="n">
        <v>85</v>
      </c>
      <c r="F17" s="14">
        <f>ROUNDUP(E17*1.5/30,0)</f>
        <v/>
      </c>
      <c r="G17" s="8" t="inlineStr">
        <is>
          <t>2–6</t>
        </is>
      </c>
      <c r="H17" s="8" t="n"/>
      <c r="I17" s="13">
        <f>ROUND($F17/5,1)</f>
        <v/>
      </c>
      <c r="J17" s="9">
        <f>ROUND($F17/5,1)</f>
        <v/>
      </c>
      <c r="K17" s="9">
        <f>ROUND($F17/5,1)</f>
        <v/>
      </c>
      <c r="L17" s="9">
        <f>ROUND($F17/5,1)</f>
        <v/>
      </c>
      <c r="M17" s="9">
        <f>ROUND($F17/5,1)</f>
        <v/>
      </c>
      <c r="N17" s="8" t="n"/>
      <c r="O17" s="8" t="n"/>
      <c r="P17" s="8" t="n"/>
      <c r="Q17" s="8" t="n"/>
      <c r="R17" s="8" t="n"/>
      <c r="S17" s="8" t="n"/>
    </row>
    <row r="18" ht="28.2" customHeight="1">
      <c r="A18" s="8" t="inlineStr">
        <is>
          <t>E27</t>
        </is>
      </c>
      <c r="B18" s="6" t="inlineStr">
        <is>
          <t>Predictive Health &amp; Absence Analytics (governed)</t>
        </is>
      </c>
      <c r="C18" s="6" t="inlineStr">
        <is>
          <t>T6 Data &amp; Analytics</t>
        </is>
      </c>
      <c r="D18" s="8" t="inlineStr">
        <is>
          <t>H2–H3</t>
        </is>
      </c>
      <c r="E18" s="8" t="n">
        <v>68</v>
      </c>
      <c r="F18" s="14">
        <f>ROUNDUP(E18*2.0/30,0)</f>
        <v/>
      </c>
      <c r="G18" s="8" t="inlineStr">
        <is>
          <t>5–10</t>
        </is>
      </c>
      <c r="H18" s="8" t="n"/>
      <c r="I18" s="8" t="n"/>
      <c r="J18" s="8" t="n"/>
      <c r="K18" s="8" t="n"/>
      <c r="L18" s="9">
        <f>ROUND($F18/6,1)</f>
        <v/>
      </c>
      <c r="M18" s="9">
        <f>ROUND($F18/6,1)</f>
        <v/>
      </c>
      <c r="N18" s="7">
        <f>ROUND($F18/6,1)</f>
        <v/>
      </c>
      <c r="O18" s="7">
        <f>ROUND($F18/6,1)</f>
        <v/>
      </c>
      <c r="P18" s="7">
        <f>ROUND($F18/6,1)</f>
        <v/>
      </c>
      <c r="Q18" s="7">
        <f>ROUND($F18/6,1)</f>
        <v/>
      </c>
      <c r="R18" s="8" t="n"/>
      <c r="S18" s="8" t="n"/>
    </row>
    <row r="19" ht="28.2" customHeight="1">
      <c r="A19" s="8" t="inlineStr">
        <is>
          <t>E28</t>
        </is>
      </c>
      <c r="B19" s="6" t="inlineStr">
        <is>
          <t>Clinical Documentation Assistant (governed)</t>
        </is>
      </c>
      <c r="C19" s="6" t="inlineStr">
        <is>
          <t>T1 Clinical Care</t>
        </is>
      </c>
      <c r="D19" s="8" t="inlineStr">
        <is>
          <t>H1–H2</t>
        </is>
      </c>
      <c r="E19" s="8" t="n">
        <v>61</v>
      </c>
      <c r="F19" s="14">
        <f>ROUNDUP(E19*2.0/30,0)</f>
        <v/>
      </c>
      <c r="G19" s="8" t="inlineStr">
        <is>
          <t>2–7</t>
        </is>
      </c>
      <c r="H19" s="8" t="n"/>
      <c r="I19" s="13">
        <f>ROUND($F19/6,1)</f>
        <v/>
      </c>
      <c r="J19" s="9">
        <f>ROUND($F19/6,1)</f>
        <v/>
      </c>
      <c r="K19" s="9">
        <f>ROUND($F19/6,1)</f>
        <v/>
      </c>
      <c r="L19" s="9">
        <f>ROUND($F19/6,1)</f>
        <v/>
      </c>
      <c r="M19" s="9">
        <f>ROUND($F19/6,1)</f>
        <v/>
      </c>
      <c r="N19" s="7">
        <f>ROUND($F19/6,1)</f>
        <v/>
      </c>
      <c r="O19" s="8" t="n"/>
      <c r="P19" s="8" t="n"/>
      <c r="Q19" s="8" t="n"/>
      <c r="R19" s="8" t="n"/>
      <c r="S19" s="8" t="n"/>
    </row>
    <row r="20" ht="28.2" customHeight="1">
      <c r="A20" s="8" t="inlineStr">
        <is>
          <t>E29</t>
        </is>
      </c>
      <c r="B20" s="6" t="inlineStr">
        <is>
          <t>Multi-Subsidiary Tenancy, Onboarding &amp; Extension Platform</t>
        </is>
      </c>
      <c r="C20" s="6" t="inlineStr">
        <is>
          <t>T5 Platform &amp; SRE</t>
        </is>
      </c>
      <c r="D20" s="8" t="inlineStr">
        <is>
          <t>H2–H3</t>
        </is>
      </c>
      <c r="E20" s="8" t="n">
        <v>81</v>
      </c>
      <c r="F20" s="14">
        <f>ROUNDUP(E20*2.0/30,0)</f>
        <v/>
      </c>
      <c r="G20" s="8" t="inlineStr">
        <is>
          <t>4–10</t>
        </is>
      </c>
      <c r="H20" s="8" t="n"/>
      <c r="I20" s="8" t="n"/>
      <c r="J20" s="8" t="n"/>
      <c r="K20" s="9">
        <f>ROUND($F20/7,1)</f>
        <v/>
      </c>
      <c r="L20" s="9">
        <f>ROUND($F20/7,1)</f>
        <v/>
      </c>
      <c r="M20" s="9">
        <f>ROUND($F20/7,1)</f>
        <v/>
      </c>
      <c r="N20" s="7">
        <f>ROUND($F20/7,1)</f>
        <v/>
      </c>
      <c r="O20" s="7">
        <f>ROUND($F20/7,1)</f>
        <v/>
      </c>
      <c r="P20" s="7">
        <f>ROUND($F20/7,1)</f>
        <v/>
      </c>
      <c r="Q20" s="7">
        <f>ROUND($F20/7,1)</f>
        <v/>
      </c>
      <c r="R20" s="8" t="n"/>
      <c r="S20" s="8" t="n"/>
    </row>
    <row r="21" ht="28.2" customHeight="1">
      <c r="A21" s="8" t="inlineStr">
        <is>
          <t>E30</t>
        </is>
      </c>
      <c r="B21" s="6" t="inlineStr">
        <is>
          <t>Workforce Health Digital Twin &amp; Capacity Planning</t>
        </is>
      </c>
      <c r="C21" s="6" t="inlineStr">
        <is>
          <t>T6 Data &amp; Analytics</t>
        </is>
      </c>
      <c r="D21" s="8" t="inlineStr">
        <is>
          <t>H3</t>
        </is>
      </c>
      <c r="E21" s="8" t="n">
        <v>59</v>
      </c>
      <c r="F21" s="14">
        <f>ROUNDUP(E21*2.5/30,0)</f>
        <v/>
      </c>
      <c r="G21" s="8" t="inlineStr">
        <is>
          <t>7–12</t>
        </is>
      </c>
      <c r="H21" s="8" t="n"/>
      <c r="I21" s="8" t="n"/>
      <c r="J21" s="8" t="n"/>
      <c r="K21" s="8" t="n"/>
      <c r="L21" s="8" t="n"/>
      <c r="M21" s="8" t="n"/>
      <c r="N21" s="7">
        <f>ROUND($F21/6,1)</f>
        <v/>
      </c>
      <c r="O21" s="7">
        <f>ROUND($F21/6,1)</f>
        <v/>
      </c>
      <c r="P21" s="7">
        <f>ROUND($F21/6,1)</f>
        <v/>
      </c>
      <c r="Q21" s="7">
        <f>ROUND($F21/6,1)</f>
        <v/>
      </c>
      <c r="R21" s="7">
        <f>ROUND($F21/6,1)</f>
        <v/>
      </c>
      <c r="S21" s="7">
        <f>ROUND($F21/6,1)</f>
        <v/>
      </c>
    </row>
    <row r="22" ht="28.2" customHeight="1">
      <c r="A22" s="8" t="inlineStr">
        <is>
          <t>E31</t>
        </is>
      </c>
      <c r="B22" s="6" t="inlineStr">
        <is>
          <t>Employee Wellbeing Marketplace &amp; Benefits Integration</t>
        </is>
      </c>
      <c r="C22" s="6" t="inlineStr">
        <is>
          <t>T2 Workforce Health &amp; Prevention</t>
        </is>
      </c>
      <c r="D22" s="8" t="inlineStr">
        <is>
          <t>H3</t>
        </is>
      </c>
      <c r="E22" s="8" t="n">
        <v>46</v>
      </c>
      <c r="F22" s="14">
        <f>ROUNDUP(E22*2.5/30,0)</f>
        <v/>
      </c>
      <c r="G22" s="8" t="inlineStr">
        <is>
          <t>8–12</t>
        </is>
      </c>
      <c r="H22" s="8" t="n"/>
      <c r="I22" s="8" t="n"/>
      <c r="J22" s="8" t="n"/>
      <c r="K22" s="8" t="n"/>
      <c r="L22" s="8" t="n"/>
      <c r="M22" s="8" t="n"/>
      <c r="N22" s="8" t="n"/>
      <c r="O22" s="7">
        <f>ROUND($F22/5,1)</f>
        <v/>
      </c>
      <c r="P22" s="7">
        <f>ROUND($F22/5,1)</f>
        <v/>
      </c>
      <c r="Q22" s="7">
        <f>ROUND($F22/5,1)</f>
        <v/>
      </c>
      <c r="R22" s="7">
        <f>ROUND($F22/5,1)</f>
        <v/>
      </c>
      <c r="S22" s="7">
        <f>ROUND($F22/5,1)</f>
        <v/>
      </c>
    </row>
    <row r="23" ht="28.2" customHeight="1">
      <c r="A23" s="8" t="inlineStr">
        <is>
          <t>EVO</t>
        </is>
      </c>
      <c r="B23" s="6" t="inlineStr">
        <is>
          <t>Evolution of delivered modules E01–E14 (feedback, sign-off changes, regulatory change)</t>
        </is>
      </c>
      <c r="C23" s="6" t="inlineStr">
        <is>
          <t>T1 / T2</t>
        </is>
      </c>
      <c r="D23" s="8" t="inlineStr">
        <is>
          <t>H2–H3</t>
        </is>
      </c>
      <c r="E23" s="8" t="n"/>
      <c r="F23" s="14" t="n">
        <v>40</v>
      </c>
      <c r="G23" s="8" t="inlineStr">
        <is>
          <t>3–12</t>
        </is>
      </c>
      <c r="H23" s="8" t="n"/>
      <c r="I23" s="8" t="n"/>
      <c r="J23" s="9">
        <f>ROUND($F23/10,1)</f>
        <v/>
      </c>
      <c r="K23" s="9">
        <f>ROUND($F23/10,1)</f>
        <v/>
      </c>
      <c r="L23" s="9">
        <f>ROUND($F23/10,1)</f>
        <v/>
      </c>
      <c r="M23" s="9">
        <f>ROUND($F23/10,1)</f>
        <v/>
      </c>
      <c r="N23" s="7">
        <f>ROUND($F23/10,1)</f>
        <v/>
      </c>
      <c r="O23" s="7">
        <f>ROUND($F23/10,1)</f>
        <v/>
      </c>
      <c r="P23" s="7">
        <f>ROUND($F23/10,1)</f>
        <v/>
      </c>
      <c r="Q23" s="7">
        <f>ROUND($F23/10,1)</f>
        <v/>
      </c>
      <c r="R23" s="7">
        <f>ROUND($F23/10,1)</f>
        <v/>
      </c>
      <c r="S23" s="7">
        <f>ROUND($F23/10,1)</f>
        <v/>
      </c>
    </row>
    <row r="25">
      <c r="B25" s="11" t="inlineStr">
        <is>
          <t>Demand – roadmap team-sprints</t>
        </is>
      </c>
      <c r="H25" s="15">
        <f>SUM(H5:H23)</f>
        <v/>
      </c>
      <c r="I25" s="15">
        <f>SUM(I5:I23)</f>
        <v/>
      </c>
      <c r="J25" s="15">
        <f>SUM(J5:J23)</f>
        <v/>
      </c>
      <c r="K25" s="15">
        <f>SUM(K5:K23)</f>
        <v/>
      </c>
      <c r="L25" s="15">
        <f>SUM(L5:L23)</f>
        <v/>
      </c>
      <c r="M25" s="15">
        <f>SUM(M5:M23)</f>
        <v/>
      </c>
      <c r="N25" s="15">
        <f>SUM(N5:N23)</f>
        <v/>
      </c>
      <c r="O25" s="15">
        <f>SUM(O5:O23)</f>
        <v/>
      </c>
      <c r="P25" s="15">
        <f>SUM(P5:P23)</f>
        <v/>
      </c>
      <c r="Q25" s="15">
        <f>SUM(Q5:Q23)</f>
        <v/>
      </c>
      <c r="R25" s="15">
        <f>SUM(R5:R23)</f>
        <v/>
      </c>
      <c r="S25" s="15">
        <f>SUM(S5:S23)</f>
        <v/>
      </c>
    </row>
    <row r="26">
      <c r="B26" s="11" t="inlineStr">
        <is>
          <t>Funded product teams</t>
        </is>
      </c>
      <c r="H26" s="15" t="n">
        <v>6</v>
      </c>
      <c r="I26" s="15" t="n">
        <v>6</v>
      </c>
      <c r="J26" s="15" t="n">
        <v>5</v>
      </c>
      <c r="K26" s="15" t="n">
        <v>5</v>
      </c>
      <c r="L26" s="15" t="n">
        <v>5</v>
      </c>
      <c r="M26" s="15" t="n">
        <v>5</v>
      </c>
      <c r="N26" s="15" t="n">
        <v>4</v>
      </c>
      <c r="O26" s="15" t="n">
        <v>4</v>
      </c>
      <c r="P26" s="15" t="n">
        <v>4</v>
      </c>
      <c r="Q26" s="15" t="n">
        <v>4</v>
      </c>
      <c r="R26" s="15" t="n">
        <v>4</v>
      </c>
      <c r="S26" s="15" t="n">
        <v>4</v>
      </c>
    </row>
    <row r="27">
      <c r="B27" s="11" t="inlineStr">
        <is>
          <t>Capacity – gross team-sprints</t>
        </is>
      </c>
      <c r="H27" s="15">
        <f>H26*6.5</f>
        <v/>
      </c>
      <c r="I27" s="15">
        <f>I26*6.5</f>
        <v/>
      </c>
      <c r="J27" s="15">
        <f>J26*6.5</f>
        <v/>
      </c>
      <c r="K27" s="15">
        <f>K26*6.5</f>
        <v/>
      </c>
      <c r="L27" s="15">
        <f>L26*6.5</f>
        <v/>
      </c>
      <c r="M27" s="15">
        <f>M26*6.5</f>
        <v/>
      </c>
      <c r="N27" s="15">
        <f>N26*6.5</f>
        <v/>
      </c>
      <c r="O27" s="15">
        <f>O26*6.5</f>
        <v/>
      </c>
      <c r="P27" s="15">
        <f>P26*6.5</f>
        <v/>
      </c>
      <c r="Q27" s="15">
        <f>Q26*6.5</f>
        <v/>
      </c>
      <c r="R27" s="15">
        <f>R26*6.5</f>
        <v/>
      </c>
      <c r="S27" s="15">
        <f>S26*6.5</f>
        <v/>
      </c>
    </row>
    <row r="28">
      <c r="B28" s="11" t="inlineStr">
        <is>
          <t>Capacity – available for roadmap</t>
        </is>
      </c>
      <c r="H28" s="15">
        <f>ROUND(H27*(1-0.35),1)</f>
        <v/>
      </c>
      <c r="I28" s="15">
        <f>ROUND(I27*(1-0.35),1)</f>
        <v/>
      </c>
      <c r="J28" s="15">
        <f>ROUND(J27*(1-0.35),1)</f>
        <v/>
      </c>
      <c r="K28" s="15">
        <f>ROUND(K27*(1-0.35),1)</f>
        <v/>
      </c>
      <c r="L28" s="15">
        <f>ROUND(L27*(1-0.35),1)</f>
        <v/>
      </c>
      <c r="M28" s="15">
        <f>ROUND(M27*(1-0.35),1)</f>
        <v/>
      </c>
      <c r="N28" s="15">
        <f>ROUND(N27*(1-0.35),1)</f>
        <v/>
      </c>
      <c r="O28" s="15">
        <f>ROUND(O27*(1-0.35),1)</f>
        <v/>
      </c>
      <c r="P28" s="15">
        <f>ROUND(P27*(1-0.35),1)</f>
        <v/>
      </c>
      <c r="Q28" s="15">
        <f>ROUND(Q27*(1-0.35),1)</f>
        <v/>
      </c>
      <c r="R28" s="15">
        <f>ROUND(R27*(1-0.35),1)</f>
        <v/>
      </c>
      <c r="S28" s="15">
        <f>ROUND(S27*(1-0.35),1)</f>
        <v/>
      </c>
    </row>
    <row r="29">
      <c r="B29" s="11" t="inlineStr">
        <is>
          <t>Headroom for options (E32+) or client demand</t>
        </is>
      </c>
      <c r="H29" s="15">
        <f>ROUND(H28-H25,1)</f>
        <v/>
      </c>
      <c r="I29" s="15">
        <f>ROUND(I28-I25,1)</f>
        <v/>
      </c>
      <c r="J29" s="15">
        <f>ROUND(J28-J25,1)</f>
        <v/>
      </c>
      <c r="K29" s="15">
        <f>ROUND(K28-K25,1)</f>
        <v/>
      </c>
      <c r="L29" s="15">
        <f>ROUND(L28-L25,1)</f>
        <v/>
      </c>
      <c r="M29" s="15">
        <f>ROUND(M28-M25,1)</f>
        <v/>
      </c>
      <c r="N29" s="15">
        <f>ROUND(N28-N25,1)</f>
        <v/>
      </c>
      <c r="O29" s="15">
        <f>ROUND(O28-O25,1)</f>
        <v/>
      </c>
      <c r="P29" s="15">
        <f>ROUND(P28-P25,1)</f>
        <v/>
      </c>
      <c r="Q29" s="15">
        <f>ROUND(Q28-Q25,1)</f>
        <v/>
      </c>
      <c r="R29" s="15">
        <f>ROUND(R28-R25,1)</f>
        <v/>
      </c>
      <c r="S29" s="15">
        <f>ROUND(S28-S25,1)</f>
        <v/>
      </c>
    </row>
    <row r="30">
      <c r="B30" s="11" t="inlineStr">
        <is>
          <t>Utilisation of available capacity</t>
        </is>
      </c>
      <c r="H30" s="16">
        <f>IFERROR(H25/H28,0)</f>
        <v/>
      </c>
      <c r="I30" s="16">
        <f>IFERROR(I25/I28,0)</f>
        <v/>
      </c>
      <c r="J30" s="16">
        <f>IFERROR(J25/J28,0)</f>
        <v/>
      </c>
      <c r="K30" s="16">
        <f>IFERROR(K25/K28,0)</f>
        <v/>
      </c>
      <c r="L30" s="16">
        <f>IFERROR(L25/L28,0)</f>
        <v/>
      </c>
      <c r="M30" s="16">
        <f>IFERROR(M25/M28,0)</f>
        <v/>
      </c>
      <c r="N30" s="16">
        <f>IFERROR(N25/N28,0)</f>
        <v/>
      </c>
      <c r="O30" s="16">
        <f>IFERROR(O25/O28,0)</f>
        <v/>
      </c>
      <c r="P30" s="16">
        <f>IFERROR(P25/P28,0)</f>
        <v/>
      </c>
      <c r="Q30" s="16">
        <f>IFERROR(Q25/Q28,0)</f>
        <v/>
      </c>
      <c r="R30" s="16">
        <f>IFERROR(R25/R28,0)</f>
        <v/>
      </c>
      <c r="S30" s="16">
        <f>IFERROR(S25/S28,0)</f>
        <v/>
      </c>
    </row>
    <row r="32">
      <c r="B32" s="17" t="inlineStr">
        <is>
          <t>T1 Clinical Care</t>
        </is>
      </c>
      <c r="C32" s="18" t="inlineStr">
        <is>
          <t>E01–E05, E08, E24, E28 – Product owner (OH), clinical safety officer liaison, 5–6 engineers, QA</t>
        </is>
      </c>
    </row>
    <row r="33">
      <c r="B33" s="17" t="inlineStr">
        <is>
          <t>T2 Workforce Health &amp; Prevention</t>
        </is>
      </c>
      <c r="C33" s="18" t="inlineStr">
        <is>
          <t>E06, E07, E09–E12, E14, E25, E31 – Product owner (prevention), 5–6 engineers, QA</t>
        </is>
      </c>
    </row>
    <row r="34">
      <c r="B34" s="17" t="inlineStr">
        <is>
          <t>T3 Experience &amp; Mobile</t>
        </is>
      </c>
      <c r="C34" s="18" t="inlineStr">
        <is>
          <t>E13, E21, E22 – Product owner (experience), UX / accessibility lead, web + mobile engineers</t>
        </is>
      </c>
    </row>
    <row r="35">
      <c r="B35" s="17" t="inlineStr">
        <is>
          <t>T4 Integration &amp; Interoperability</t>
        </is>
      </c>
      <c r="C35" s="18" t="inlineStr">
        <is>
          <t>E15, E23 – Integration architect, 4–5 engineers, interface analyst</t>
        </is>
      </c>
    </row>
    <row r="36">
      <c r="B36" s="17" t="inlineStr">
        <is>
          <t>T5 Platform &amp; SRE</t>
        </is>
      </c>
      <c r="C36" s="18" t="inlineStr">
        <is>
          <t>E16, E18, E19, E20, E29 – Platform lead, SREs, security champion, DBA</t>
        </is>
      </c>
    </row>
    <row r="37">
      <c r="B37" s="17" t="inlineStr">
        <is>
          <t>T6 Data &amp; Analytics</t>
        </is>
      </c>
      <c r="C37" s="18" t="inlineStr">
        <is>
          <t>E17, E26, E27, E30 – Data product owner, data engineers, data scientist, privacy engineer</t>
        </is>
      </c>
    </row>
    <row r="39" ht="42" customHeight="1">
      <c r="B39" s="12" t="inlineStr">
        <is>
          <t>Reading the plan: utilisation above 100 % (red) means the quarter needs more capacity or a later start. H1 is the constrained horizon because the platform epics, E19 security and the Tier-0 build all land before go-live – decision S5 asks for a temporary integration capacity uplift in Q1–Q3. H2 and H3 epics carry a larger uncertainty allowance (×2.0 / ×2.5) because their backlogs are first cuts; the remaining headroom is deliberately unallocated for option epics (E32+), client demand and estimate overruns, and is reviewed at each horizon gate. Team-sprints are indicative and exclude business sign-off effort, external penetration testing, licences and hosting.</t>
        </is>
      </c>
    </row>
  </sheetData>
  <mergeCells count="10">
    <mergeCell ref="C37:L37"/>
    <mergeCell ref="B39:S39"/>
    <mergeCell ref="C36:L36"/>
    <mergeCell ref="A1:S1"/>
    <mergeCell ref="C35:L35"/>
    <mergeCell ref="A3:S3"/>
    <mergeCell ref="C34:L34"/>
    <mergeCell ref="C32:L32"/>
    <mergeCell ref="A2:S2"/>
    <mergeCell ref="C33:L33"/>
  </mergeCells>
  <conditionalFormatting sqref="H30:S30">
    <cfRule type="cellIs" priority="1" operator="greaterThan" dxfId="0">
      <formula>1</formula>
    </cfRule>
    <cfRule type="cellIs" priority="2" operator="between" dxfId="1">
      <formula>0.85</formula>
      <formula>1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0" customWidth="1" min="4" max="4"/>
    <col width="40" customWidth="1" min="5" max="5"/>
    <col width="22" customWidth="1" min="6" max="6"/>
    <col width="20" customWidth="1" min="7" max="7"/>
    <col width="12" customWidth="1" min="8" max="8"/>
  </cols>
  <sheetData>
    <row r="1" ht="17.35" customHeight="1">
      <c r="A1" s="1" t="inlineStr">
        <is>
          <t>KPI tree – north star, outcomes and drivers</t>
        </is>
      </c>
    </row>
    <row r="2" ht="15" customHeight="1">
      <c r="A2" s="2" t="inlineStr">
        <is>
          <t>Targets are indicative and taken from the client epic KPIs where available; baselines must be measured in the first 90 days of operation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4" t="inlineStr">
        <is>
          <t>Level</t>
        </is>
      </c>
      <c r="B4" s="4" t="inlineStr">
        <is>
          <t>ID</t>
        </is>
      </c>
      <c r="C4" s="4" t="inlineStr">
        <is>
          <t>Parent</t>
        </is>
      </c>
      <c r="D4" s="4" t="inlineStr">
        <is>
          <t>KPI</t>
        </is>
      </c>
      <c r="E4" s="4" t="inlineStr">
        <is>
          <t>Target (indicative)</t>
        </is>
      </c>
      <c r="F4" s="4" t="inlineStr">
        <is>
          <t>Owner</t>
        </is>
      </c>
      <c r="G4" s="4" t="inlineStr">
        <is>
          <t>Epics</t>
        </is>
      </c>
      <c r="H4" s="4" t="inlineStr">
        <is>
          <t>Baseline</t>
        </is>
      </c>
    </row>
    <row r="5" ht="28.2" customHeight="1">
      <c r="A5" s="19" t="inlineStr">
        <is>
          <t>North star</t>
        </is>
      </c>
      <c r="B5" s="20" t="inlineStr">
        <is>
          <t>NS</t>
        </is>
      </c>
      <c r="C5" s="20" t="inlineStr"/>
      <c r="D5" s="19" t="inlineStr">
        <is>
          <t>Every safety-critical employee fit, supported and back at work safely – with health data that never leaks</t>
        </is>
      </c>
      <c r="E5" s="19" t="inlineStr">
        <is>
          <t>–</t>
        </is>
      </c>
      <c r="F5" s="19" t="inlineStr">
        <is>
          <t>CMO + CIO</t>
        </is>
      </c>
      <c r="G5" s="19" t="inlineStr">
        <is>
          <t>All</t>
        </is>
      </c>
      <c r="H5" s="21" t="inlineStr">
        <is>
          <t>to measure</t>
        </is>
      </c>
    </row>
    <row r="6" ht="28.2" customHeight="1">
      <c r="A6" s="22" t="inlineStr">
        <is>
          <t>Outcome</t>
        </is>
      </c>
      <c r="B6" s="23" t="inlineStr">
        <is>
          <t>O1</t>
        </is>
      </c>
      <c r="C6" s="23" t="inlineStr">
        <is>
          <t>NS</t>
        </is>
      </c>
      <c r="D6" s="22" t="inlineStr">
        <is>
          <t>Lost workdays per lost-time case</t>
        </is>
      </c>
      <c r="E6" s="22" t="inlineStr">
        <is>
          <t>−25 % in 12 months (E05 KPI; illustrative business case)</t>
        </is>
      </c>
      <c r="F6" s="22" t="inlineStr">
        <is>
          <t>CMO / Nursing Head</t>
        </is>
      </c>
      <c r="G6" s="22" t="inlineStr">
        <is>
          <t>E05, E06, E27</t>
        </is>
      </c>
      <c r="H6" s="21" t="inlineStr">
        <is>
          <t>to measure</t>
        </is>
      </c>
    </row>
    <row r="7" ht="18" customHeight="1">
      <c r="A7" s="22" t="inlineStr">
        <is>
          <t>Outcome</t>
        </is>
      </c>
      <c r="B7" s="23" t="inlineStr">
        <is>
          <t>O2</t>
        </is>
      </c>
      <c r="C7" s="23" t="inlineStr">
        <is>
          <t>NS</t>
        </is>
      </c>
      <c r="D7" s="22" t="inlineStr">
        <is>
          <t>Lost-time claim cost per case</t>
        </is>
      </c>
      <c r="E7" s="22" t="inlineStr">
        <is>
          <t>−15 % in 18 months (E08 KPI; illustrative)</t>
        </is>
      </c>
      <c r="F7" s="22" t="inlineStr">
        <is>
          <t>Claims lead / Finance</t>
        </is>
      </c>
      <c r="G7" s="22" t="inlineStr">
        <is>
          <t>E04, E08, E26</t>
        </is>
      </c>
      <c r="H7" s="21" t="inlineStr">
        <is>
          <t>to measure</t>
        </is>
      </c>
    </row>
    <row r="8" ht="18" customHeight="1">
      <c r="A8" s="22" t="inlineStr">
        <is>
          <t>Outcome</t>
        </is>
      </c>
      <c r="B8" s="23" t="inlineStr">
        <is>
          <t>O3</t>
        </is>
      </c>
      <c r="C8" s="23" t="inlineStr">
        <is>
          <t>NS</t>
        </is>
      </c>
      <c r="D8" s="22" t="inlineStr">
        <is>
          <t>Crew medical certificate lapses</t>
        </is>
      </c>
      <c r="E8" s="22" t="inlineStr">
        <is>
          <t>0 (E07 KPI)</t>
        </is>
      </c>
      <c r="F8" s="22" t="inlineStr">
        <is>
          <t>AME lead / Crew licensing</t>
        </is>
      </c>
      <c r="G8" s="22" t="inlineStr">
        <is>
          <t>E07, E24, E30</t>
        </is>
      </c>
      <c r="H8" s="21" t="inlineStr">
        <is>
          <t>to measure</t>
        </is>
      </c>
    </row>
    <row r="9" ht="18" customHeight="1">
      <c r="A9" s="22" t="inlineStr">
        <is>
          <t>Outcome</t>
        </is>
      </c>
      <c r="B9" s="23" t="inlineStr">
        <is>
          <t>O4</t>
        </is>
      </c>
      <c r="C9" s="23" t="inlineStr">
        <is>
          <t>NS</t>
        </is>
      </c>
      <c r="D9" s="22" t="inlineStr">
        <is>
          <t>Platform availability (PROD, measured SLO)</t>
        </is>
      </c>
      <c r="E9" s="22" t="inlineStr">
        <is>
          <t>≥ 99.99 % per month</t>
        </is>
      </c>
      <c r="F9" s="22" t="inlineStr">
        <is>
          <t>CIO / Head of SRE</t>
        </is>
      </c>
      <c r="G9" s="22" t="inlineStr">
        <is>
          <t>E19, E20</t>
        </is>
      </c>
      <c r="H9" s="21" t="inlineStr">
        <is>
          <t>to measure</t>
        </is>
      </c>
    </row>
    <row r="10" ht="18" customHeight="1">
      <c r="A10" s="22" t="inlineStr">
        <is>
          <t>Outcome</t>
        </is>
      </c>
      <c r="B10" s="23" t="inlineStr">
        <is>
          <t>O5</t>
        </is>
      </c>
      <c r="C10" s="23" t="inlineStr">
        <is>
          <t>NS</t>
        </is>
      </c>
      <c r="D10" s="22" t="inlineStr">
        <is>
          <t>Disclosure or residency incidents involving health data</t>
        </is>
      </c>
      <c r="E10" s="22" t="inlineStr">
        <is>
          <t>0</t>
        </is>
      </c>
      <c r="F10" s="22" t="inlineStr">
        <is>
          <t>DPO / CISO</t>
        </is>
      </c>
      <c r="G10" s="22" t="inlineStr">
        <is>
          <t>E16, E19, E26, E29</t>
        </is>
      </c>
      <c r="H10" s="21" t="inlineStr">
        <is>
          <t>to measure</t>
        </is>
      </c>
    </row>
    <row r="11" ht="28.2" customHeight="1">
      <c r="A11" s="22" t="inlineStr">
        <is>
          <t>Outcome</t>
        </is>
      </c>
      <c r="B11" s="23" t="inlineStr">
        <is>
          <t>O6</t>
        </is>
      </c>
      <c r="C11" s="23" t="inlineStr">
        <is>
          <t>NS</t>
        </is>
      </c>
      <c r="D11" s="22" t="inlineStr">
        <is>
          <t>Employee trust and reach</t>
        </is>
      </c>
      <c r="E11" s="22" t="inlineStr">
        <is>
          <t>≥ 90 % awareness of confidential pathways; app adoption ≥ 70 % of crew</t>
        </is>
      </c>
      <c r="F11" s="22" t="inlineStr">
        <is>
          <t>Nursing Head / HR</t>
        </is>
      </c>
      <c r="G11" s="22" t="inlineStr">
        <is>
          <t>E09, E13, E21, E22</t>
        </is>
      </c>
      <c r="H11" s="21" t="inlineStr">
        <is>
          <t>to measure</t>
        </is>
      </c>
    </row>
    <row r="12" ht="18" customHeight="1">
      <c r="A12" s="6" t="inlineStr">
        <is>
          <t>Driver</t>
        </is>
      </c>
      <c r="B12" s="8" t="inlineStr">
        <is>
          <t>D1.1</t>
        </is>
      </c>
      <c r="C12" s="8" t="inlineStr">
        <is>
          <t>O1</t>
        </is>
      </c>
      <c r="D12" s="6" t="inlineStr">
        <is>
          <t xml:space="preserve">    % long-term absences (&gt; 4 weeks) with an OH case</t>
        </is>
      </c>
      <c r="E12" s="6" t="inlineStr">
        <is>
          <t>≥ 95 % (E06 KPI)</t>
        </is>
      </c>
      <c r="F12" s="6" t="inlineStr">
        <is>
          <t>Nursing Head</t>
        </is>
      </c>
      <c r="G12" s="6" t="inlineStr">
        <is>
          <t>E06, E15</t>
        </is>
      </c>
      <c r="H12" s="21" t="inlineStr">
        <is>
          <t>to measure</t>
        </is>
      </c>
    </row>
    <row r="13" ht="18" customHeight="1">
      <c r="A13" s="6" t="inlineStr">
        <is>
          <t>Driver</t>
        </is>
      </c>
      <c r="B13" s="8" t="inlineStr">
        <is>
          <t>D1.2</t>
        </is>
      </c>
      <c r="C13" s="8" t="inlineStr">
        <is>
          <t>O1</t>
        </is>
      </c>
      <c r="D13" s="6" t="inlineStr">
        <is>
          <t xml:space="preserve">    % RTW plans started within 5 days of fitness decision</t>
        </is>
      </c>
      <c r="E13" s="6" t="inlineStr">
        <is>
          <t>≥ 90 % (E05 KPI)</t>
        </is>
      </c>
      <c r="F13" s="6" t="inlineStr">
        <is>
          <t>Nursing Head</t>
        </is>
      </c>
      <c r="G13" s="6" t="inlineStr">
        <is>
          <t>E05, E17</t>
        </is>
      </c>
      <c r="H13" s="21" t="inlineStr">
        <is>
          <t>to measure</t>
        </is>
      </c>
    </row>
    <row r="14" ht="28.2" customHeight="1">
      <c r="A14" s="6" t="inlineStr">
        <is>
          <t>Driver</t>
        </is>
      </c>
      <c r="B14" s="8" t="inlineStr">
        <is>
          <t>D1.3</t>
        </is>
      </c>
      <c r="C14" s="8" t="inlineStr">
        <is>
          <t>O1</t>
        </is>
      </c>
      <c r="D14" s="6" t="inlineStr">
        <is>
          <t xml:space="preserve">    Early-intervention contacts generated by governed risk signals and accepted by clinicians</t>
        </is>
      </c>
      <c r="E14" s="6" t="inlineStr">
        <is>
          <t>≥ 70 % rated useful in pilot</t>
        </is>
      </c>
      <c r="F14" s="6" t="inlineStr">
        <is>
          <t>CMO</t>
        </is>
      </c>
      <c r="G14" s="6" t="inlineStr">
        <is>
          <t>E27</t>
        </is>
      </c>
      <c r="H14" s="21" t="inlineStr">
        <is>
          <t>to measure</t>
        </is>
      </c>
    </row>
    <row r="15" ht="18" customHeight="1">
      <c r="A15" s="6" t="inlineStr">
        <is>
          <t>Driver</t>
        </is>
      </c>
      <c r="B15" s="8" t="inlineStr">
        <is>
          <t>D2.1</t>
        </is>
      </c>
      <c r="C15" s="8" t="inlineStr">
        <is>
          <t>O2</t>
        </is>
      </c>
      <c r="D15" s="6" t="inlineStr">
        <is>
          <t xml:space="preserve">    FROI / statutory submissions within deadline</t>
        </is>
      </c>
      <c r="E15" s="6" t="inlineStr">
        <is>
          <t>100 % (E08 KPI)</t>
        </is>
      </c>
      <c r="F15" s="6" t="inlineStr">
        <is>
          <t>Claims lead</t>
        </is>
      </c>
      <c r="G15" s="6" t="inlineStr">
        <is>
          <t>E08, E15</t>
        </is>
      </c>
      <c r="H15" s="21" t="inlineStr">
        <is>
          <t>to measure</t>
        </is>
      </c>
    </row>
    <row r="16" ht="18" customHeight="1">
      <c r="A16" s="6" t="inlineStr">
        <is>
          <t>Driver</t>
        </is>
      </c>
      <c r="B16" s="8" t="inlineStr">
        <is>
          <t>D2.2</t>
        </is>
      </c>
      <c r="C16" s="8" t="inlineStr">
        <is>
          <t>O2</t>
        </is>
      </c>
      <c r="D16" s="6" t="inlineStr">
        <is>
          <t xml:space="preserve">    Median referral-to-appointment time</t>
        </is>
      </c>
      <c r="E16" s="6" t="inlineStr">
        <is>
          <t>&lt; 5 working days (E04 KPI)</t>
        </is>
      </c>
      <c r="F16" s="6" t="inlineStr">
        <is>
          <t>Case management</t>
        </is>
      </c>
      <c r="G16" s="6" t="inlineStr">
        <is>
          <t>E04, E23</t>
        </is>
      </c>
      <c r="H16" s="21" t="inlineStr">
        <is>
          <t>to measure</t>
        </is>
      </c>
    </row>
    <row r="17" ht="18" customHeight="1">
      <c r="A17" s="6" t="inlineStr">
        <is>
          <t>Driver</t>
        </is>
      </c>
      <c r="B17" s="8" t="inlineStr">
        <is>
          <t>D3.1</t>
        </is>
      </c>
      <c r="C17" s="8" t="inlineStr">
        <is>
          <t>O3</t>
        </is>
      </c>
      <c r="D17" s="6" t="inlineStr">
        <is>
          <t xml:space="preserve">    Regulator submissions within the authority's deadline</t>
        </is>
      </c>
      <c r="E17" s="6" t="inlineStr">
        <is>
          <t>≥ 98 %</t>
        </is>
      </c>
      <c r="F17" s="6" t="inlineStr">
        <is>
          <t>AME lead</t>
        </is>
      </c>
      <c r="G17" s="6" t="inlineStr">
        <is>
          <t>E24</t>
        </is>
      </c>
      <c r="H17" s="21" t="inlineStr">
        <is>
          <t>to measure</t>
        </is>
      </c>
    </row>
    <row r="18" ht="18" customHeight="1">
      <c r="A18" s="6" t="inlineStr">
        <is>
          <t>Driver</t>
        </is>
      </c>
      <c r="B18" s="8" t="inlineStr">
        <is>
          <t>D3.2</t>
        </is>
      </c>
      <c r="C18" s="8" t="inlineStr">
        <is>
          <t>O3</t>
        </is>
      </c>
      <c r="D18" s="6" t="inlineStr">
        <is>
          <t xml:space="preserve">    Fitness status reaching rostering within 15 minutes</t>
        </is>
      </c>
      <c r="E18" s="6" t="inlineStr">
        <is>
          <t>100 % (E05 KPI)</t>
        </is>
      </c>
      <c r="F18" s="6" t="inlineStr">
        <is>
          <t>Crew scheduling</t>
        </is>
      </c>
      <c r="G18" s="6" t="inlineStr">
        <is>
          <t>E05, E15, E25</t>
        </is>
      </c>
      <c r="H18" s="21" t="inlineStr">
        <is>
          <t>to measure</t>
        </is>
      </c>
    </row>
    <row r="19" ht="18" customHeight="1">
      <c r="A19" s="6" t="inlineStr">
        <is>
          <t>Driver</t>
        </is>
      </c>
      <c r="B19" s="8" t="inlineStr">
        <is>
          <t>D4.1</t>
        </is>
      </c>
      <c r="C19" s="8" t="inlineStr">
        <is>
          <t>O4</t>
        </is>
      </c>
      <c r="D19" s="6" t="inlineStr">
        <is>
          <t xml:space="preserve">    Region failover proven in drill (RTO / RPO)</t>
        </is>
      </c>
      <c r="E19" s="6" t="inlineStr">
        <is>
          <t>≤ 15 min / ≤ 5 min, every quarter</t>
        </is>
      </c>
      <c r="F19" s="6" t="inlineStr">
        <is>
          <t>Head of SRE</t>
        </is>
      </c>
      <c r="G19" s="6" t="inlineStr">
        <is>
          <t>E20</t>
        </is>
      </c>
      <c r="H19" s="21" t="inlineStr">
        <is>
          <t>to measure</t>
        </is>
      </c>
    </row>
    <row r="20" ht="18" customHeight="1">
      <c r="A20" s="6" t="inlineStr">
        <is>
          <t>Driver</t>
        </is>
      </c>
      <c r="B20" s="8" t="inlineStr">
        <is>
          <t>D4.2</t>
        </is>
      </c>
      <c r="C20" s="8" t="inlineStr">
        <is>
          <t>O4</t>
        </is>
      </c>
      <c r="D20" s="6" t="inlineStr">
        <is>
          <t xml:space="preserve">    Change failure rate</t>
        </is>
      </c>
      <c r="E20" s="6" t="inlineStr">
        <is>
          <t>≤ 10 %</t>
        </is>
      </c>
      <c r="F20" s="6" t="inlineStr">
        <is>
          <t>Engineering leads</t>
        </is>
      </c>
      <c r="G20" s="6" t="inlineStr">
        <is>
          <t>E20, E19</t>
        </is>
      </c>
      <c r="H20" s="21" t="inlineStr">
        <is>
          <t>to measure</t>
        </is>
      </c>
    </row>
    <row r="21" ht="18" customHeight="1">
      <c r="A21" s="6" t="inlineStr">
        <is>
          <t>Driver</t>
        </is>
      </c>
      <c r="B21" s="8" t="inlineStr">
        <is>
          <t>D5.1</t>
        </is>
      </c>
      <c r="C21" s="8" t="inlineStr">
        <is>
          <t>O5</t>
        </is>
      </c>
      <c r="D21" s="6" t="inlineStr">
        <is>
          <t xml:space="preserve">    Critical / High vulnerabilities open beyond SLA</t>
        </is>
      </c>
      <c r="E21" s="6" t="inlineStr">
        <is>
          <t>0</t>
        </is>
      </c>
      <c r="F21" s="6" t="inlineStr">
        <is>
          <t>CISO</t>
        </is>
      </c>
      <c r="G21" s="6" t="inlineStr">
        <is>
          <t>E19</t>
        </is>
      </c>
      <c r="H21" s="21" t="inlineStr">
        <is>
          <t>to measure</t>
        </is>
      </c>
    </row>
    <row r="22" ht="18" customHeight="1">
      <c r="A22" s="6" t="inlineStr">
        <is>
          <t>Driver</t>
        </is>
      </c>
      <c r="B22" s="8" t="inlineStr">
        <is>
          <t>D5.2</t>
        </is>
      </c>
      <c r="C22" s="8" t="inlineStr">
        <is>
          <t>O5</t>
        </is>
      </c>
      <c r="D22" s="6" t="inlineStr">
        <is>
          <t xml:space="preserve">    Re-identification incidents from analytics or research datasets</t>
        </is>
      </c>
      <c r="E22" s="6" t="inlineStr">
        <is>
          <t>0</t>
        </is>
      </c>
      <c r="F22" s="6" t="inlineStr">
        <is>
          <t>DPO</t>
        </is>
      </c>
      <c r="G22" s="6" t="inlineStr">
        <is>
          <t>E26, E27</t>
        </is>
      </c>
      <c r="H22" s="21" t="inlineStr">
        <is>
          <t>to measure</t>
        </is>
      </c>
    </row>
    <row r="23" ht="18" customHeight="1">
      <c r="A23" s="6" t="inlineStr">
        <is>
          <t>Driver</t>
        </is>
      </c>
      <c r="B23" s="8" t="inlineStr">
        <is>
          <t>D6.1</t>
        </is>
      </c>
      <c r="C23" s="8" t="inlineStr">
        <is>
          <t>O6</t>
        </is>
      </c>
      <c r="D23" s="6" t="inlineStr">
        <is>
          <t xml:space="preserve">    WCAG 2.2 AA critical / serious issues open</t>
        </is>
      </c>
      <c r="E23" s="6" t="inlineStr">
        <is>
          <t>0 across the four web apps and the mobile app</t>
        </is>
      </c>
      <c r="F23" s="6" t="inlineStr">
        <is>
          <t>Head of Experience</t>
        </is>
      </c>
      <c r="G23" s="6" t="inlineStr">
        <is>
          <t>E21</t>
        </is>
      </c>
      <c r="H23" s="21" t="inlineStr">
        <is>
          <t>to measure</t>
        </is>
      </c>
    </row>
    <row r="24" ht="28.2" customHeight="1">
      <c r="A24" s="6" t="inlineStr">
        <is>
          <t>Driver</t>
        </is>
      </c>
      <c r="B24" s="8" t="inlineStr">
        <is>
          <t>D6.2</t>
        </is>
      </c>
      <c r="C24" s="8" t="inlineStr">
        <is>
          <t>O6</t>
        </is>
      </c>
      <c r="D24" s="6" t="inlineStr">
        <is>
          <t xml:space="preserve">    Employee-facing screens available in Arabic (RTL) and top workforce languages</t>
        </is>
      </c>
      <c r="E24" s="6" t="inlineStr">
        <is>
          <t>100 % Arabic; ≥ 95 % top-5 languages</t>
        </is>
      </c>
      <c r="F24" s="6" t="inlineStr">
        <is>
          <t>Head of Experience</t>
        </is>
      </c>
      <c r="G24" s="6" t="inlineStr">
        <is>
          <t>E21</t>
        </is>
      </c>
      <c r="H24" s="21" t="inlineStr">
        <is>
          <t>to measure</t>
        </is>
      </c>
    </row>
    <row r="25" ht="28.2" customHeight="1">
      <c r="A25" s="6" t="inlineStr">
        <is>
          <t>Driver</t>
        </is>
      </c>
      <c r="B25" s="8" t="inlineStr">
        <is>
          <t>D6.3</t>
        </is>
      </c>
      <c r="C25" s="8" t="inlineStr">
        <is>
          <t>O6</t>
        </is>
      </c>
      <c r="D25" s="6" t="inlineStr">
        <is>
          <t xml:space="preserve">    Documentation time per encounter (frees clinician time for people)</t>
        </is>
      </c>
      <c r="E25" s="6" t="inlineStr">
        <is>
          <t>−30 % vs baseline (E03 KPI)</t>
        </is>
      </c>
      <c r="F25" s="6" t="inlineStr">
        <is>
          <t>CMO</t>
        </is>
      </c>
      <c r="G25" s="6" t="inlineStr">
        <is>
          <t>E03, E28</t>
        </is>
      </c>
      <c r="H25" s="21" t="inlineStr">
        <is>
          <t>to measure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WellnessZ – Epic Catalogue and Roadmap</dc:title>
  <dc:subject xmlns:dc="http://purl.org/dc/elements/1.1/">WellnessZ OHCM – strategy beyond increment 5</dc:subject>
  <dcterms:created xmlns:dcterms="http://purl.org/dc/terms/" xmlns:xsi="http://www.w3.org/2001/XMLSchema-instance" xsi:type="dcterms:W3CDTF">2026-10-30T13:11:14Z</dcterms:created>
  <dcterms:modified xmlns:dcterms="http://purl.org/dc/terms/" xmlns:xsi="http://www.w3.org/2001/XMLSchema-instance" xsi:type="dcterms:W3CDTF">2026-10-30T13:11:14Z</dcterms:modified>
</cp:coreProperties>
</file>