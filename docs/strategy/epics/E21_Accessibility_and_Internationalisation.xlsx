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pic Overview" sheetId="1" state="visible" r:id="rId1"/>
    <sheet xmlns:r="http://schemas.openxmlformats.org/officeDocument/2006/relationships" name="High-Level Requirements" sheetId="2" state="visible" r:id="rId2"/>
    <sheet xmlns:r="http://schemas.openxmlformats.org/officeDocument/2006/relationships" name="Feature List" sheetId="3" state="visible" r:id="rId3"/>
    <sheet xmlns:r="http://schemas.openxmlformats.org/officeDocument/2006/relationships" name="Implementation Backlog" sheetId="4" state="visible" r:id="rId4"/>
    <sheet xmlns:r="http://schemas.openxmlformats.org/officeDocument/2006/relationships" name="Legends" sheetId="5" state="visible" r:id="rId5"/>
  </sheets>
  <definedNames>
    <definedName name="_xlnm.Print_Titles" localSheetId="0">'Epic Overview'!$4:$4</definedName>
    <definedName name="_xlnm._FilterDatabase" localSheetId="1" hidden="1">'High-Level Requirements'!$A$4:$H$9</definedName>
    <definedName name="_xlnm.Print_Titles" localSheetId="1">'High-Level Requirements'!$4:$4</definedName>
    <definedName name="_xlnm._FilterDatabase" localSheetId="2" hidden="1">'Feature List'!$A$4:$J$10</definedName>
    <definedName name="_xlnm.Print_Titles" localSheetId="2">'Feature List'!$4:$4</definedName>
    <definedName name="_xlnm._FilterDatabase" localSheetId="3" hidden="1">'Implementation Backlog'!$A$4:$O$16</definedName>
    <definedName name="_xlnm.Print_Titles" localSheetId="3">'Implementation Backlog'!$4:$4</definedName>
    <definedName name="_xlnm.Print_Titles" localSheetId="4">'Legends'!$4:$4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FF1F3864"/>
      <sz val="14"/>
    </font>
    <font>
      <name val="Arial"/>
      <color rgb="FF595959"/>
      <sz val="10"/>
    </font>
    <font>
      <name val="Arial"/>
      <color rgb="FF7F7F7F"/>
      <sz val="9"/>
    </font>
    <font>
      <name val="Arial"/>
      <b val="1"/>
      <color rgb="FF1F3864"/>
      <sz val="10"/>
    </font>
    <font>
      <name val="Arial"/>
      <color rgb="FF000000"/>
      <sz val="10"/>
    </font>
    <font>
      <name val="Arial"/>
      <b val="1"/>
      <color rgb="FF1F3864"/>
      <sz val="11"/>
    </font>
    <font>
      <name val="Arial"/>
      <b val="1"/>
      <color rgb="FF000000"/>
      <sz val="10"/>
    </font>
    <font>
      <name val="Arial"/>
      <color rgb="FF404040"/>
      <sz val="9"/>
    </font>
    <font>
      <name val="Arial"/>
      <b val="1"/>
      <color rgb="FFFFFFFF"/>
      <sz val="10"/>
    </font>
    <font>
      <name val="Arial"/>
      <b val="1"/>
      <sz val="10"/>
    </font>
  </fonts>
  <fills count="6">
    <fill>
      <patternFill/>
    </fill>
    <fill>
      <patternFill patternType="gray125"/>
    </fill>
    <fill>
      <patternFill patternType="solid">
        <fgColor rgb="FFDDEBF7"/>
      </patternFill>
    </fill>
    <fill>
      <patternFill patternType="solid">
        <fgColor rgb="FFF2F2F2"/>
      </patternFill>
    </fill>
    <fill>
      <patternFill patternType="solid">
        <fgColor rgb="FF1F3864"/>
      </patternFill>
    </fill>
    <fill>
      <patternFill patternType="solid">
        <fgColor rgb="FFFFF2CC"/>
      </patternFill>
    </fill>
  </fills>
  <borders count="5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  <border>
      <left/>
      <right/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/>
      <diagonal/>
    </border>
    <border>
      <left/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vertical="top" wrapText="1"/>
    </xf>
    <xf numFmtId="0" fontId="5" fillId="0" borderId="1" applyAlignment="1" pivotButton="0" quotePrefix="0" xfId="0">
      <alignment vertical="top" wrapText="1"/>
    </xf>
    <xf numFmtId="0" fontId="0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vertical="top" wrapText="1"/>
    </xf>
    <xf numFmtId="0" fontId="5" fillId="0" borderId="1" applyAlignment="1" pivotButton="0" quotePrefix="0" xfId="0">
      <alignment horizontal="left"/>
    </xf>
    <xf numFmtId="0" fontId="8" fillId="0" borderId="0" applyAlignment="1" pivotButton="0" quotePrefix="0" xfId="0">
      <alignment vertical="top" wrapText="1"/>
    </xf>
    <xf numFmtId="0" fontId="9" fillId="4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top"/>
    </xf>
    <xf numFmtId="0" fontId="5" fillId="0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left" vertical="top" wrapText="1"/>
    </xf>
    <xf numFmtId="0" fontId="5" fillId="5" borderId="1" applyAlignment="1" pivotButton="0" quotePrefix="0" xfId="0">
      <alignment horizontal="center" vertical="top"/>
    </xf>
    <xf numFmtId="0" fontId="5" fillId="5" borderId="1" applyAlignment="1" pivotButton="0" quotePrefix="0" xfId="0">
      <alignment horizontal="left" vertical="top"/>
    </xf>
    <xf numFmtId="0" fontId="10" fillId="0" borderId="0" pivotButton="0" quotePrefix="0" xfId="0"/>
    <xf numFmtId="0" fontId="10" fillId="0" borderId="0" applyAlignment="1" pivotButton="0" quotePrefix="0" xfId="0">
      <alignment horizontal="center"/>
    </xf>
  </cellXfs>
  <cellStyles count="1">
    <cellStyle name="Normal" xfId="0" builtinId="0" hidden="0"/>
  </cellStyles>
  <dxfs count="3">
    <dxf>
      <fill>
        <patternFill>
          <bgColor rgb="FFF8CBAD"/>
        </patternFill>
      </fill>
    </dxf>
    <dxf>
      <fill>
        <patternFill>
          <bgColor rgb="FFFFE699"/>
        </patternFill>
      </fill>
    </dxf>
    <dxf>
      <fill>
        <patternFill>
          <bgColor rgb="FFC6E0B4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35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95" customWidth="1" min="2" max="2"/>
    <col width="22" customWidth="1" min="3" max="3"/>
  </cols>
  <sheetData>
    <row r="1" ht="17.35" customHeight="1">
      <c r="A1" s="1" t="inlineStr">
        <is>
          <t>E21 – Accessibility &amp; Internationalisation</t>
        </is>
      </c>
    </row>
    <row r="2" ht="15" customHeight="1">
      <c r="A2" s="2" t="inlineStr">
        <is>
          <t>Epic overview, scope, value, KPIs and summary metrics (review with the C-suite sponsor, CIO, CMO / Nursing Head and Cyber GRC)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5" ht="15.6" customHeight="1">
      <c r="A5" s="4" t="inlineStr">
        <is>
          <t>Epic ID</t>
        </is>
      </c>
      <c r="B5" s="5" t="inlineStr">
        <is>
          <t>E21</t>
        </is>
      </c>
    </row>
    <row r="6" ht="15.6" customHeight="1">
      <c r="A6" s="4" t="inlineStr">
        <is>
          <t>Epic name</t>
        </is>
      </c>
      <c r="B6" s="5" t="inlineStr">
        <is>
          <t>Accessibility &amp; Internationalisation</t>
        </is>
      </c>
    </row>
    <row r="7" ht="40.8" customHeight="1">
      <c r="A7" s="4" t="inlineStr">
        <is>
          <t>Goal</t>
        </is>
      </c>
      <c r="B7" s="5" t="inlineStr">
        <is>
          <t>Make every WellnessZ front end and generated document usable by every employee, crew member, clinician and partner: WCAG 2.2 AA conformance across the four web apps and the mobile app, full Arabic right-to-left support, the workforce's main languages for employee-facing content, locale-aware formats for a multinational crew, and governed translation of clinical content.</t>
        </is>
      </c>
      <c r="C7" s="6" t="n"/>
    </row>
    <row r="8" ht="40.8" customHeight="1">
      <c r="A8" s="4" t="inlineStr">
        <is>
          <t>Business value</t>
        </is>
      </c>
      <c r="B8" s="5" t="inlineStr">
        <is>
          <t>A 50K multinational workforce, including outstation and night-shift staff, can only use self-service if it is accessible and in their language; inaccessible health services expose the group to discrimination claims and erode trust in the confidential pathways. Localised clinical content (e.g. validated screening translations) is a clinical-safety issue, not a cosmetic one.</t>
        </is>
      </c>
      <c r="C8" s="6" t="n"/>
    </row>
    <row r="9" ht="78.59999999999999" customHeight="1">
      <c r="A9" s="4" t="inlineStr">
        <is>
          <t>In scope</t>
        </is>
      </c>
      <c r="B9" s="5" t="inlineStr">
        <is>
          <t>• WCAG 2.2 AA audit and remediation of the OH workspace, employee app, manager workspace and partner portal
• Accessibility in the SDLC: automated checks in CI, manual audit, assistive-technology testing
• Arabic RTL across all four apps; Arabic shaping and bidirectional text in generated PDFs
• Multilingual employee content (top workforce languages from HRIS data) with translation management
• Locale formats: dates, numerals, time zones of stations, optional Hijri display
• Clinical translation governance (validated instrument translations, back-translation, sign-off)</t>
        </is>
      </c>
      <c r="C9" s="6" t="n"/>
    </row>
    <row r="10" ht="28.2" customHeight="1">
      <c r="A10" s="4" t="inlineStr">
        <is>
          <t>Out of scope</t>
        </is>
      </c>
      <c r="B10" s="5" t="inlineStr">
        <is>
          <t>• Translation of the clinical record itself (records stay in the clinician's language)
• Sign-language interpretation services (procured by OH)</t>
        </is>
      </c>
      <c r="C10" s="6" t="n"/>
    </row>
    <row r="11" ht="28.2" customHeight="1">
      <c r="A11" s="4" t="inlineStr">
        <is>
          <t>Primary stakeholders / roles</t>
        </is>
      </c>
      <c r="B11" s="5" t="inlineStr">
        <is>
          <t>Head of Experience; UX / accessibility lead; Nursing Head; CMO; DPO (content-free notifications in every language); HR diversity &amp; inclusion; employee representatives</t>
        </is>
      </c>
      <c r="C11" s="6" t="n"/>
    </row>
    <row r="12" ht="66" customHeight="1">
      <c r="A12" s="4" t="inlineStr">
        <is>
          <t>Success KPIs</t>
        </is>
      </c>
      <c r="B12" s="5" t="inlineStr">
        <is>
          <t>• 0 open WCAG 2.2 AA critical or serious issues across the four web apps and the mobile app
• 100 % of employee-facing screens and documents available in Arabic with correct RTL
• ≥ 95 % of employee-facing content in the top five workforce languages
• Task-completion rate parity (± 5 points) between languages in usability tests
• Approved clinical translations published within 10 working days of source approval</t>
        </is>
      </c>
      <c r="C12" s="6" t="n"/>
    </row>
    <row r="13" ht="28.2" customHeight="1">
      <c r="A13" s="4" t="inlineStr">
        <is>
          <t>Dependencies</t>
        </is>
      </c>
      <c r="B13" s="5" t="inlineStr">
        <is>
          <t>E13 Portal / app; E18 Master data (languages, templates); E22 Native mobile (platform accessibility APIs); E03 / E09 content owners for clinical translations</t>
        </is>
      </c>
      <c r="C13" s="6" t="n"/>
    </row>
    <row r="14" ht="66" customHeight="1">
      <c r="A14" s="4" t="inlineStr">
        <is>
          <t>Standards &amp; references</t>
        </is>
      </c>
      <c r="B14" s="5" t="inlineStr">
        <is>
          <t>• WCAG22: W3C WCAG 2.2 level AA
• EN301549: EN 301 549 accessibility requirements for ICT
• PDF-UA: ISO 14289 accessible PDF
• Unicode bidirectional algorithm (UAX #9); CLDR locale data
• ISPOR good practice for translation of patient-reported outcome measures</t>
        </is>
      </c>
      <c r="C14" s="6" t="n"/>
    </row>
    <row r="15" ht="40.8" customHeight="1">
      <c r="A15" s="4" t="inlineStr">
        <is>
          <t>Evidence base (why now)</t>
        </is>
      </c>
      <c r="B15" s="5" t="inlineStr">
        <is>
          <t>Employee app already switches Arabic to dir="rtl" on the portal screens and holds en / ar / fr strings for self-referral; the OH workspace, manager workspace and partner portal have no locale layer; increment-2 sign-off S14: clinical-text guard vocabulary is English only; triage advice texts en / ar / fr are drafts; no WCAG audit is recorded in the delivery evidence.</t>
        </is>
      </c>
      <c r="C15" s="6" t="n"/>
    </row>
    <row r="16" ht="28.2" customHeight="1">
      <c r="A16" s="4" t="inlineStr">
        <is>
          <t>Recommended start horizon</t>
        </is>
      </c>
      <c r="B16" s="5" t="inlineStr">
        <is>
          <t>H1 – audit and Arabic for employee-facing journeys before go-live; H2 – workspaces, further languages and PDFs</t>
        </is>
      </c>
    </row>
    <row r="18">
      <c r="A18" s="7" t="inlineStr">
        <is>
          <t>Summary metrics (formula-driven)</t>
        </is>
      </c>
    </row>
    <row r="19" ht="15" customHeight="1">
      <c r="A19" s="8" t="inlineStr">
        <is>
          <t>Number of high-level requirements</t>
        </is>
      </c>
      <c r="B19" s="9">
        <f>COUNTA('High-Level Requirements'!A5:A9)</f>
        <v/>
      </c>
    </row>
    <row r="20" ht="15" customHeight="1">
      <c r="A20" s="8" t="inlineStr">
        <is>
          <t>Number of features</t>
        </is>
      </c>
      <c r="B20" s="9">
        <f>COUNTA('Feature List'!A5:A10)</f>
        <v/>
      </c>
    </row>
    <row r="21" ht="15" customHeight="1">
      <c r="A21" s="8" t="inlineStr">
        <is>
          <t>Number of backlog items</t>
        </is>
      </c>
      <c r="B21" s="9">
        <f>COUNTA('Implementation Backlog'!A5:A16)</f>
        <v/>
      </c>
    </row>
    <row r="22" ht="15" customHeight="1">
      <c r="A22" s="8" t="inlineStr">
        <is>
          <t>Total story points (indicative)</t>
        </is>
      </c>
      <c r="B22" s="9">
        <f>SUM('Implementation Backlog'!G5:G16)</f>
        <v/>
      </c>
    </row>
    <row r="23" ht="15" customHeight="1">
      <c r="A23" s="8" t="inlineStr">
        <is>
          <t>Story points – H1 (0–6 months)</t>
        </is>
      </c>
      <c r="B23" s="9">
        <f>SUMIF('Implementation Backlog'!H5:H16,"H1",'Implementation Backlog'!G5:G16)</f>
        <v/>
      </c>
    </row>
    <row r="24" ht="15" customHeight="1">
      <c r="A24" s="8" t="inlineStr">
        <is>
          <t>Story points – H2 (6–18 months)</t>
        </is>
      </c>
      <c r="B24" s="9">
        <f>SUMIF('Implementation Backlog'!H5:H16,"H2",'Implementation Backlog'!G5:G16)</f>
        <v/>
      </c>
    </row>
    <row r="25" ht="15" customHeight="1">
      <c r="A25" s="8" t="inlineStr">
        <is>
          <t>Story points – H3 (18–36 months)</t>
        </is>
      </c>
      <c r="B25" s="9">
        <f>SUMIF('Implementation Backlog'!H5:H16,"H3",'Implementation Backlog'!G5:G16)</f>
        <v/>
      </c>
    </row>
    <row r="26" ht="27" customHeight="1">
      <c r="A26" s="8" t="inlineStr">
        <is>
          <t>Indicative team-sprints (at 30 SP per sprint)</t>
        </is>
      </c>
      <c r="B26" s="9">
        <f>ROUNDUP(SUM('Implementation Backlog'!G5:G16)/30,0)</f>
        <v/>
      </c>
    </row>
    <row r="27" ht="15" customHeight="1">
      <c r="A27" s="8" t="inlineStr">
        <is>
          <t>Must-have requirements</t>
        </is>
      </c>
      <c r="B27" s="9">
        <f>COUNTIF('High-Level Requirements'!D5:D9,"Must")</f>
        <v/>
      </c>
    </row>
    <row r="28" ht="27" customHeight="1">
      <c r="A28" s="8" t="inlineStr">
        <is>
          <t>Backlog items awaiting review decision</t>
        </is>
      </c>
      <c r="B28" s="9">
        <f>COUNTBLANK('Implementation Backlog'!N5:N16)</f>
        <v/>
      </c>
    </row>
    <row r="30">
      <c r="A30" s="7" t="inlineStr">
        <is>
          <t>Notes &amp; assumptions</t>
        </is>
      </c>
    </row>
    <row r="31" ht="30" customHeight="1">
      <c r="A31" s="10" t="inlineStr">
        <is>
          <t>How to review: yellow cells are for the reviewers named on the overview (C-suite sponsor, CIO, CMO / Nursing Head, Cyber GRC, DPO). Use the 'Decision' and 'Review comment' columns on each sheet; the dropdowns offer Accept / Modify / Reject / Defer.</t>
        </is>
      </c>
    </row>
    <row r="32" ht="30" customHeight="1">
      <c r="A32" s="10" t="inlineStr">
        <is>
          <t>Story points are indicative relative-size estimates (Fibonacci-like scale) produced during strategy drafting; they must be re-estimated by the delivery teams. Team-sprints in the catalogue workbook use an indicative velocity of 30 points per team per two-week sprint.</t>
        </is>
      </c>
    </row>
    <row r="33" ht="30" customHeight="1">
      <c r="A33" s="10" t="inlineStr">
        <is>
          <t>Horizons: H1 = Go-live readiness and close the gaps (months 0–6), H2 = Scale, intelligence and experience (months 6–18), H3 = Ecosystem and industry leadership (months 18–36). Priority on backlog items is P1 (critical) / P2 / P3.</t>
        </is>
      </c>
    </row>
    <row r="34" ht="30" customHeight="1">
      <c r="A34" s="10" t="inlineStr">
        <is>
          <t>Nothing in this workbook exists in the product today unless the 'Evidence base' row says so; benefits and KPI targets are indicative and must be baselined by their business owners.</t>
        </is>
      </c>
    </row>
    <row r="35" ht="30" customHeight="1">
      <c r="A35" s="10" t="inlineStr">
        <is>
          <t>Confidentiality rule used throughout: managers, HR, crew scheduling, vendors and analytics audiences see status or suppressed aggregates only – never diagnosis or clinical detail; all data stays in the client's jurisdiction.</t>
        </is>
      </c>
    </row>
  </sheetData>
  <mergeCells count="15">
    <mergeCell ref="B13:C13"/>
    <mergeCell ref="A1:D1"/>
    <mergeCell ref="A33:C33"/>
    <mergeCell ref="B15:C15"/>
    <mergeCell ref="B7:C7"/>
    <mergeCell ref="B11:C11"/>
    <mergeCell ref="A32:C32"/>
    <mergeCell ref="A31:C31"/>
    <mergeCell ref="B10:C10"/>
    <mergeCell ref="B14:C14"/>
    <mergeCell ref="A35:C35"/>
    <mergeCell ref="A34:C34"/>
    <mergeCell ref="B9:C9"/>
    <mergeCell ref="B8:C8"/>
    <mergeCell ref="B12:C12"/>
  </mergeCells>
  <pageMargins left="0.75" right="0.75" top="1" bottom="1" header="0.5" footer="0.5"/>
  <pageSetup orientation="landscape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H9"/>
  <sheetViews>
    <sheetView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70" customWidth="1" min="2" max="2"/>
    <col width="45" customWidth="1" min="3" max="3"/>
    <col width="12" customWidth="1" min="4" max="4"/>
    <col width="28" customWidth="1" min="5" max="5"/>
    <col width="34" customWidth="1" min="6" max="6"/>
    <col width="36" customWidth="1" min="7" max="7"/>
    <col width="12" customWidth="1" min="8" max="8"/>
  </cols>
  <sheetData>
    <row r="1" ht="17.35" customHeight="1">
      <c r="A1" s="1" t="inlineStr">
        <is>
          <t>E21 – High-Level Requirements</t>
        </is>
      </c>
    </row>
    <row r="2" ht="15" customHeight="1">
      <c r="A2" s="2" t="inlineStr">
        <is>
          <t>What the solution must achieve for this epic (MoSCoW prioritised, traced to standards and to the evidence of increments 1–5)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HLR ID</t>
        </is>
      </c>
      <c r="B4" s="11" t="inlineStr">
        <is>
          <t>Requirement</t>
        </is>
      </c>
      <c r="C4" s="11" t="inlineStr">
        <is>
          <t>Rationale</t>
        </is>
      </c>
      <c r="D4" s="11" t="inlineStr">
        <is>
          <t>Priority (MoSCoW)</t>
        </is>
      </c>
      <c r="E4" s="11" t="inlineStr">
        <is>
          <t>Standards / sources</t>
        </is>
      </c>
      <c r="F4" s="11" t="inlineStr">
        <is>
          <t>Applicable units</t>
        </is>
      </c>
      <c r="G4" s="11" t="inlineStr">
        <is>
          <t>Review comment (sponsor / CMO / GRC)</t>
        </is>
      </c>
      <c r="H4" s="11" t="inlineStr">
        <is>
          <t>Decision</t>
        </is>
      </c>
    </row>
    <row r="5" ht="35.05" customHeight="1">
      <c r="A5" s="12" t="inlineStr">
        <is>
          <t>E21-HLR-01</t>
        </is>
      </c>
      <c r="B5" s="13" t="inlineStr">
        <is>
          <t>All four web apps and the mobile app shall conform to WCAG 2.2 level AA, verified by an independent manual audit and by automated checks on every build.</t>
        </is>
      </c>
      <c r="C5" s="13" t="inlineStr">
        <is>
          <t>Legal accessibility duties and inclusion; the employee app is the main entry to confidential pathways.</t>
        </is>
      </c>
      <c r="D5" s="12" t="inlineStr">
        <is>
          <t>Must</t>
        </is>
      </c>
      <c r="E5" s="13" t="inlineStr">
        <is>
          <t>WCAG22; EN301549</t>
        </is>
      </c>
      <c r="F5" s="13" t="inlineStr">
        <is>
          <t>ALL – All subsidiaries &amp; departments (group-wide)</t>
        </is>
      </c>
      <c r="G5" s="14" t="n"/>
      <c r="H5" s="15" t="n"/>
    </row>
    <row r="6" ht="40.8" customHeight="1">
      <c r="A6" s="12" t="inlineStr">
        <is>
          <t>E21-HLR-02</t>
        </is>
      </c>
      <c r="B6" s="13" t="inlineStr">
        <is>
          <t>Every front end and every employee-facing generated document shall support Arabic with correct right-to-left layout, Arabic glyph shaping and mixed-direction text.</t>
        </is>
      </c>
      <c r="C6" s="13" t="inlineStr">
        <is>
          <t>Arabic is a primary language for the workforce in the Gulf operations; only part of the employee app supports it today.</t>
        </is>
      </c>
      <c r="D6" s="12" t="inlineStr">
        <is>
          <t>Must</t>
        </is>
      </c>
      <c r="E6" s="13" t="inlineStr">
        <is>
          <t>WCAG22; PDF-UA</t>
        </is>
      </c>
      <c r="F6" s="13" t="inlineStr">
        <is>
          <t>ALL – All subsidiaries &amp; departments (group-wide)</t>
        </is>
      </c>
      <c r="G6" s="14" t="n"/>
      <c r="H6" s="15" t="n"/>
    </row>
    <row r="7" ht="40.8" customHeight="1">
      <c r="A7" s="12" t="inlineStr">
        <is>
          <t>E21-HLR-03</t>
        </is>
      </c>
      <c r="B7" s="13" t="inlineStr">
        <is>
          <t>Employee-facing content shall be available in the workforce's main languages, chosen from HRIS language data, with a translation-management workflow and fall-back to English.</t>
        </is>
      </c>
      <c r="C7" s="13" t="inlineStr">
        <is>
          <t>Multinational crews and ground staff; low-literacy and second-language users at airside posts.</t>
        </is>
      </c>
      <c r="D7" s="12" t="inlineStr">
        <is>
          <t>Should</t>
        </is>
      </c>
      <c r="E7" s="13" t="inlineStr">
        <is>
          <t>LOCAL-PDP; WCAG22</t>
        </is>
      </c>
      <c r="F7" s="13" t="inlineStr">
        <is>
          <t>ALL – All subsidiaries &amp; departments (group-wide)</t>
        </is>
      </c>
      <c r="G7" s="14" t="n"/>
      <c r="H7" s="15" t="n"/>
    </row>
    <row r="8" ht="40.8" customHeight="1">
      <c r="A8" s="12" t="inlineStr">
        <is>
          <t>E21-HLR-04</t>
        </is>
      </c>
      <c r="B8" s="13" t="inlineStr">
        <is>
          <t>Clinical content shown to employees in another language (screening instruments, advice, signposting, consent texts) shall use validated or back-translated versions approved by the content owner before release.</t>
        </is>
      </c>
      <c r="C8" s="13" t="inlineStr">
        <is>
          <t>A wrong translation of a PHQ-9 item or a consent text is a clinical and legal risk.</t>
        </is>
      </c>
      <c r="D8" s="12" t="inlineStr">
        <is>
          <t>Must</t>
        </is>
      </c>
      <c r="E8" s="13" t="inlineStr">
        <is>
          <t>ISO45003; LOCAL-PDP</t>
        </is>
      </c>
      <c r="F8" s="13" t="inlineStr">
        <is>
          <t>ALL – All subsidiaries &amp; departments (group-wide)</t>
        </is>
      </c>
      <c r="G8" s="14" t="n"/>
      <c r="H8" s="15" t="n"/>
    </row>
    <row r="9" ht="35.05" customHeight="1">
      <c r="A9" s="12" t="inlineStr">
        <is>
          <t>E21-HLR-05</t>
        </is>
      </c>
      <c r="B9" s="13" t="inlineStr">
        <is>
          <t>Dates, times, numbers and calendars shall follow the user's locale, and crew-facing times shall show the station time zone alongside UTC.</t>
        </is>
      </c>
      <c r="C9" s="13" t="inlineStr">
        <is>
          <t>Crew operate across time zones; misread times cause missed appointments and protocol timers.</t>
        </is>
      </c>
      <c r="D9" s="12" t="inlineStr">
        <is>
          <t>Should</t>
        </is>
      </c>
      <c r="E9" s="13" t="inlineStr">
        <is>
          <t>ICAO-A6</t>
        </is>
      </c>
      <c r="F9" s="13" t="inlineStr">
        <is>
          <t>FLT – Flight Operations; CAB – Cabin Services</t>
        </is>
      </c>
      <c r="G9" s="14" t="n"/>
      <c r="H9" s="15" t="n"/>
    </row>
  </sheetData>
  <autoFilter ref="A4:H9"/>
  <mergeCells count="3">
    <mergeCell ref="A3:H3"/>
    <mergeCell ref="A2:H2"/>
    <mergeCell ref="A1:H1"/>
  </mergeCells>
  <conditionalFormatting sqref="D5:D9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H5:H9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J10"/>
  <sheetViews>
    <sheetView workbookViewId="0">
      <pane xSplit="2" ySplit="4" topLeftCell="C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2" customWidth="1" min="1" max="1"/>
    <col width="28" customWidth="1" min="2" max="2"/>
    <col width="60" customWidth="1" min="3" max="3"/>
    <col width="24" customWidth="1" min="4" max="4"/>
    <col width="12" customWidth="1" min="5" max="5"/>
    <col width="18" customWidth="1" min="6" max="6"/>
    <col width="48" customWidth="1" min="7" max="7"/>
    <col width="36" customWidth="1" min="8" max="8"/>
    <col width="30" customWidth="1" min="9" max="9"/>
    <col width="12" customWidth="1" min="10" max="10"/>
  </cols>
  <sheetData>
    <row r="1" ht="17.35" customHeight="1">
      <c r="A1" s="1" t="inlineStr">
        <is>
          <t>E21 – Low-Level Feature List</t>
        </is>
      </c>
    </row>
    <row r="2" ht="15" customHeight="1">
      <c r="A2" s="2" t="inlineStr">
        <is>
          <t>Features that implement the high-level requirements, with roles, acceptance criteria and unit-specific notes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Feature ID</t>
        </is>
      </c>
      <c r="B4" s="11" t="inlineStr">
        <is>
          <t>Feature</t>
        </is>
      </c>
      <c r="C4" s="11" t="inlineStr">
        <is>
          <t>Description</t>
        </is>
      </c>
      <c r="D4" s="11" t="inlineStr">
        <is>
          <t>Primary roles</t>
        </is>
      </c>
      <c r="E4" s="11" t="inlineStr">
        <is>
          <t>Priority (MoSCoW)</t>
        </is>
      </c>
      <c r="F4" s="11" t="inlineStr">
        <is>
          <t>Traces to HLR</t>
        </is>
      </c>
      <c r="G4" s="11" t="inlineStr">
        <is>
          <t>Acceptance criteria (summary)</t>
        </is>
      </c>
      <c r="H4" s="11" t="inlineStr">
        <is>
          <t>Unit-specific notes</t>
        </is>
      </c>
      <c r="I4" s="11" t="inlineStr">
        <is>
          <t>Review comment</t>
        </is>
      </c>
      <c r="J4" s="11" t="inlineStr">
        <is>
          <t>Decision</t>
        </is>
      </c>
    </row>
    <row r="5" ht="35.05" customHeight="1">
      <c r="A5" s="12" t="inlineStr">
        <is>
          <t>E21-F01</t>
        </is>
      </c>
      <c r="B5" s="13" t="inlineStr">
        <is>
          <t>Accessibility audit and remediation</t>
        </is>
      </c>
      <c r="C5" s="13" t="inlineStr">
        <is>
          <t>Independent WCAG 2.2 AA audit of all apps; remediation backlog; accessibility statement per app.</t>
        </is>
      </c>
      <c r="D5" s="13" t="inlineStr">
        <is>
          <t>UX / accessibility lead; Web team</t>
        </is>
      </c>
      <c r="E5" s="12" t="inlineStr">
        <is>
          <t>Must</t>
        </is>
      </c>
      <c r="F5" s="13" t="inlineStr">
        <is>
          <t>E21-HLR-01</t>
        </is>
      </c>
      <c r="G5" s="13" t="inlineStr">
        <is>
          <t>Audit report; 0 critical / serious issues open; statements published.</t>
        </is>
      </c>
      <c r="H5" s="13" t="inlineStr">
        <is>
          <t>Kiosk check-in and queue board included.</t>
        </is>
      </c>
      <c r="I5" s="14" t="n"/>
      <c r="J5" s="15" t="n"/>
    </row>
    <row r="6" ht="35.05" customHeight="1">
      <c r="A6" s="12" t="inlineStr">
        <is>
          <t>E21-F02</t>
        </is>
      </c>
      <c r="B6" s="13" t="inlineStr">
        <is>
          <t>Accessibility in the SDLC</t>
        </is>
      </c>
      <c r="C6" s="13" t="inlineStr">
        <is>
          <t>Automated accessibility checks in CI for every app, component library with accessible primitives, assistive-technology test protocol.</t>
        </is>
      </c>
      <c r="D6" s="13" t="inlineStr">
        <is>
          <t>Web team; QA</t>
        </is>
      </c>
      <c r="E6" s="12" t="inlineStr">
        <is>
          <t>Must</t>
        </is>
      </c>
      <c r="F6" s="13" t="inlineStr">
        <is>
          <t>E21-HLR-01</t>
        </is>
      </c>
      <c r="G6" s="13" t="inlineStr">
        <is>
          <t>Build fails on new serious violations; screen-reader test protocol run each release.</t>
        </is>
      </c>
      <c r="H6" s="13" t="inlineStr">
        <is>
          <t>None</t>
        </is>
      </c>
      <c r="I6" s="14" t="n"/>
      <c r="J6" s="15" t="n"/>
    </row>
    <row r="7" ht="35.05" customHeight="1">
      <c r="A7" s="12" t="inlineStr">
        <is>
          <t>E21-F03</t>
        </is>
      </c>
      <c r="B7" s="13" t="inlineStr">
        <is>
          <t>Arabic and RTL across apps and documents</t>
        </is>
      </c>
      <c r="C7" s="13" t="inlineStr">
        <is>
          <t>Locale layer in the three workspaces, RTL layout, Arabic fonts and shaping in PDF generation, bidirectional text tests.</t>
        </is>
      </c>
      <c r="D7" s="13" t="inlineStr">
        <is>
          <t>Web team; Platform / Backend</t>
        </is>
      </c>
      <c r="E7" s="12" t="inlineStr">
        <is>
          <t>Must</t>
        </is>
      </c>
      <c r="F7" s="13" t="inlineStr">
        <is>
          <t>E21-HLR-02</t>
        </is>
      </c>
      <c r="G7" s="13" t="inlineStr">
        <is>
          <t>All screens pass RTL visual review; Arabic PDFs render correctly and are tagged.</t>
        </is>
      </c>
      <c r="H7" s="13" t="inlineStr">
        <is>
          <t>Partner portal Arabic optional per partner.</t>
        </is>
      </c>
      <c r="I7" s="14" t="n"/>
      <c r="J7" s="15" t="n"/>
    </row>
    <row r="8" ht="35.05" customHeight="1">
      <c r="A8" s="12" t="inlineStr">
        <is>
          <t>E21-F04</t>
        </is>
      </c>
      <c r="B8" s="13" t="inlineStr">
        <is>
          <t>Multilingual content management</t>
        </is>
      </c>
      <c r="C8" s="13" t="inlineStr">
        <is>
          <t>Translation keys externalised, translation-management workflow, language selection from HRIS preference, English fall-back.</t>
        </is>
      </c>
      <c r="D8" s="13" t="inlineStr">
        <is>
          <t>Frontend / UX; Content owners</t>
        </is>
      </c>
      <c r="E8" s="12" t="inlineStr">
        <is>
          <t>Should</t>
        </is>
      </c>
      <c r="F8" s="13" t="inlineStr">
        <is>
          <t>E21-HLR-03</t>
        </is>
      </c>
      <c r="G8" s="13" t="inlineStr">
        <is>
          <t>Top-five languages live on employee journeys; missing keys reported, never blank.</t>
        </is>
      </c>
      <c r="H8" s="13" t="inlineStr">
        <is>
          <t>Content-free notifications checked in every language.</t>
        </is>
      </c>
      <c r="I8" s="14" t="n"/>
      <c r="J8" s="15" t="n"/>
    </row>
    <row r="9" ht="35.05" customHeight="1">
      <c r="A9" s="12" t="inlineStr">
        <is>
          <t>E21-F05</t>
        </is>
      </c>
      <c r="B9" s="13" t="inlineStr">
        <is>
          <t>Clinical translation governance</t>
        </is>
      </c>
      <c r="C9" s="13" t="inlineStr">
        <is>
          <t>Register of translated clinical content with source version, method (validated / back-translated), approver and licence.</t>
        </is>
      </c>
      <c r="D9" s="13" t="inlineStr">
        <is>
          <t>CMO; Nursing Head; Mental-health lead</t>
        </is>
      </c>
      <c r="E9" s="12" t="inlineStr">
        <is>
          <t>Must</t>
        </is>
      </c>
      <c r="F9" s="13" t="inlineStr">
        <is>
          <t>E21-HLR-04</t>
        </is>
      </c>
      <c r="G9" s="13" t="inlineStr">
        <is>
          <t>No clinical text published in a language without an approved translation record.</t>
        </is>
      </c>
      <c r="H9" s="13" t="inlineStr">
        <is>
          <t>Licensed instrument translations may carry fees.</t>
        </is>
      </c>
      <c r="I9" s="14" t="n"/>
      <c r="J9" s="15" t="n"/>
    </row>
    <row r="10" ht="35.05" customHeight="1">
      <c r="A10" s="12" t="inlineStr">
        <is>
          <t>E21-F06</t>
        </is>
      </c>
      <c r="B10" s="13" t="inlineStr">
        <is>
          <t>Locale and time-zone handling</t>
        </is>
      </c>
      <c r="C10" s="13" t="inlineStr">
        <is>
          <t>Locale-aware formatting; station time zone plus UTC for crew; optional Hijri display.</t>
        </is>
      </c>
      <c r="D10" s="13" t="inlineStr">
        <is>
          <t>Frontend / UX</t>
        </is>
      </c>
      <c r="E10" s="12" t="inlineStr">
        <is>
          <t>Should</t>
        </is>
      </c>
      <c r="F10" s="13" t="inlineStr">
        <is>
          <t>E21-HLR-05</t>
        </is>
      </c>
      <c r="G10" s="13" t="inlineStr">
        <is>
          <t>Appointment and protocol times shown correctly across 5 time-zone test cases.</t>
        </is>
      </c>
      <c r="H10" s="13" t="inlineStr">
        <is>
          <t>Station list from E18 master data.</t>
        </is>
      </c>
      <c r="I10" s="14" t="n"/>
      <c r="J10" s="15" t="n"/>
    </row>
  </sheetData>
  <autoFilter ref="A4:J10"/>
  <mergeCells count="3">
    <mergeCell ref="A1:J1"/>
    <mergeCell ref="A3:J3"/>
    <mergeCell ref="A2:J2"/>
  </mergeCells>
  <conditionalFormatting sqref="E5:E10">
    <cfRule type="cellIs" priority="1" operator="equal" dxfId="0">
      <formula>"Must"</formula>
    </cfRule>
    <cfRule type="cellIs" priority="2" operator="equal" dxfId="1">
      <formula>"Should"</formula>
    </cfRule>
    <cfRule type="cellIs" priority="3" operator="equal" dxfId="2">
      <formula>"Could"</formula>
    </cfRule>
  </conditionalFormatting>
  <dataValidations count="1">
    <dataValidation sqref="J5:J10" showDropDown="0" showInputMessage="0" showErrorMessage="0" allowBlank="1" type="list">
      <formula1>"Accept,Modify,Reject,Defer"</formula1>
    </dataValidation>
  </dataValidations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O19"/>
  <sheetViews>
    <sheetView workbookViewId="0">
      <pane xSplit="4" ySplit="4" topLeftCell="E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1" customWidth="1" min="2" max="2"/>
    <col width="26" customWidth="1" min="3" max="3"/>
    <col width="9" customWidth="1" min="4" max="4"/>
    <col width="60" customWidth="1" min="5" max="5"/>
    <col width="55" customWidth="1" min="6" max="6"/>
    <col width="10" customWidth="1" min="7" max="7"/>
    <col width="9" customWidth="1" min="8" max="8"/>
    <col width="9" customWidth="1" min="9" max="9"/>
    <col width="24" customWidth="1" min="10" max="10"/>
    <col width="14" customWidth="1" min="11" max="11"/>
    <col width="10" customWidth="1" min="12" max="12"/>
    <col width="13" customWidth="1" min="13" max="13"/>
    <col width="11" customWidth="1" min="14" max="14"/>
    <col width="30" customWidth="1" min="15" max="15"/>
  </cols>
  <sheetData>
    <row r="1" ht="17.35" customHeight="1">
      <c r="A1" s="1" t="inlineStr">
        <is>
          <t>E21 – Implementation Backlog (line by line)</t>
        </is>
      </c>
    </row>
    <row r="2" ht="15" customHeight="1">
      <c r="A2" s="2" t="inlineStr">
        <is>
          <t>User stories, enablers, tasks and spikes with acceptance criteria, indicative estimates, horizon, priority, owner and dependencies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Backlog ID</t>
        </is>
      </c>
      <c r="B4" s="11" t="inlineStr">
        <is>
          <t>Feature ID</t>
        </is>
      </c>
      <c r="C4" s="11" t="inlineStr">
        <is>
          <t>Feature (lookup)</t>
        </is>
      </c>
      <c r="D4" s="11" t="inlineStr">
        <is>
          <t>Type</t>
        </is>
      </c>
      <c r="E4" s="11" t="inlineStr">
        <is>
          <t>Title / user story</t>
        </is>
      </c>
      <c r="F4" s="11" t="inlineStr">
        <is>
          <t>Acceptance criteria / definition of done</t>
        </is>
      </c>
      <c r="G4" s="11" t="inlineStr">
        <is>
          <t>Story points (indicative)</t>
        </is>
      </c>
      <c r="H4" s="11" t="inlineStr">
        <is>
          <t>Horizon</t>
        </is>
      </c>
      <c r="I4" s="11" t="inlineStr">
        <is>
          <t>Priority</t>
        </is>
      </c>
      <c r="J4" s="11" t="inlineStr">
        <is>
          <t>Owner / team</t>
        </is>
      </c>
      <c r="K4" s="11" t="inlineStr">
        <is>
          <t>Dependencies (epics)</t>
        </is>
      </c>
      <c r="L4" s="11" t="inlineStr">
        <is>
          <t>Sprint (to assign)</t>
        </is>
      </c>
      <c r="M4" s="11" t="inlineStr">
        <is>
          <t>Status</t>
        </is>
      </c>
      <c r="N4" s="11" t="inlineStr">
        <is>
          <t>Decision</t>
        </is>
      </c>
      <c r="O4" s="11" t="inlineStr">
        <is>
          <t>Review comment</t>
        </is>
      </c>
    </row>
    <row r="5" ht="28.2" customHeight="1">
      <c r="A5" s="12" t="inlineStr">
        <is>
          <t>E21-BL-001</t>
        </is>
      </c>
      <c r="B5" s="12" t="inlineStr">
        <is>
          <t>E21-F01</t>
        </is>
      </c>
      <c r="C5" s="13">
        <f>IFERROR(INDEX('Feature List'!$B$5:$B$10,MATCH(B5,'Feature List'!$A$5:$A$10,0)),"")</f>
        <v/>
      </c>
      <c r="D5" s="12" t="inlineStr">
        <is>
          <t>Task</t>
        </is>
      </c>
      <c r="E5" s="13" t="inlineStr">
        <is>
          <t>Commission an independent WCAG 2.2 AA audit of the four web apps and the mobile build</t>
        </is>
      </c>
      <c r="F5" s="13" t="inlineStr">
        <is>
          <t>Audit report with issue list by severity and success criterion</t>
        </is>
      </c>
      <c r="G5" s="12" t="n">
        <v>3</v>
      </c>
      <c r="H5" s="12" t="inlineStr">
        <is>
          <t>H1</t>
        </is>
      </c>
      <c r="I5" s="12" t="inlineStr">
        <is>
          <t>P1</t>
        </is>
      </c>
      <c r="J5" s="13" t="inlineStr">
        <is>
          <t>Product Owner; UX / accessibility lead</t>
        </is>
      </c>
      <c r="K5" s="13" t="inlineStr">
        <is>
          <t>–</t>
        </is>
      </c>
      <c r="L5" s="16" t="n"/>
      <c r="M5" s="12" t="inlineStr">
        <is>
          <t>Not started</t>
        </is>
      </c>
      <c r="N5" s="15" t="n"/>
      <c r="O5" s="14" t="n"/>
    </row>
    <row r="6" ht="40.8" customHeight="1">
      <c r="A6" s="12" t="inlineStr">
        <is>
          <t>E21-BL-002</t>
        </is>
      </c>
      <c r="B6" s="12" t="inlineStr">
        <is>
          <t>E21-F01</t>
        </is>
      </c>
      <c r="C6" s="13">
        <f>IFERROR(INDEX('Feature List'!$B$5:$B$10,MATCH(B6,'Feature List'!$A$5:$A$10,0)),"")</f>
        <v/>
      </c>
      <c r="D6" s="12" t="inlineStr">
        <is>
          <t>Story</t>
        </is>
      </c>
      <c r="E6" s="13" t="inlineStr">
        <is>
          <t>As an employee using a screen reader I want to complete self-referral, booking and consent screens so that I can use confidential services independently</t>
        </is>
      </c>
      <c r="F6" s="13" t="inlineStr">
        <is>
          <t>Journeys pass manual screen-reader tests (desktop and mobile); no critical issue open</t>
        </is>
      </c>
      <c r="G6" s="12" t="n">
        <v>13</v>
      </c>
      <c r="H6" s="12" t="inlineStr">
        <is>
          <t>H1</t>
        </is>
      </c>
      <c r="I6" s="12" t="inlineStr">
        <is>
          <t>P1</t>
        </is>
      </c>
      <c r="J6" s="13" t="inlineStr">
        <is>
          <t>Frontend / UX</t>
        </is>
      </c>
      <c r="K6" s="13" t="inlineStr">
        <is>
          <t>E13</t>
        </is>
      </c>
      <c r="L6" s="16" t="n"/>
      <c r="M6" s="12" t="inlineStr">
        <is>
          <t>Not started</t>
        </is>
      </c>
      <c r="N6" s="15" t="n"/>
      <c r="O6" s="14" t="n"/>
    </row>
    <row r="7" ht="28.2" customHeight="1">
      <c r="A7" s="12" t="inlineStr">
        <is>
          <t>E21-BL-003</t>
        </is>
      </c>
      <c r="B7" s="12" t="inlineStr">
        <is>
          <t>E21-F01</t>
        </is>
      </c>
      <c r="C7" s="13">
        <f>IFERROR(INDEX('Feature List'!$B$5:$B$10,MATCH(B7,'Feature List'!$A$5:$A$10,0)),"")</f>
        <v/>
      </c>
      <c r="D7" s="12" t="inlineStr">
        <is>
          <t>Story</t>
        </is>
      </c>
      <c r="E7" s="13" t="inlineStr">
        <is>
          <t>As a clinician with low vision I want the OH workspace worklists and forms to meet contrast, focus and target-size criteria</t>
        </is>
      </c>
      <c r="F7" s="13" t="inlineStr">
        <is>
          <t>Worklists and forms pass WCAG 2.2 AA (incl. 2.4.11 focus not obscured, 2.5.8 target size)</t>
        </is>
      </c>
      <c r="G7" s="12" t="n">
        <v>13</v>
      </c>
      <c r="H7" s="12" t="inlineStr">
        <is>
          <t>H2</t>
        </is>
      </c>
      <c r="I7" s="12" t="inlineStr">
        <is>
          <t>P2</t>
        </is>
      </c>
      <c r="J7" s="13" t="inlineStr">
        <is>
          <t>Frontend / UX</t>
        </is>
      </c>
      <c r="K7" s="13" t="inlineStr">
        <is>
          <t>–</t>
        </is>
      </c>
      <c r="L7" s="16" t="n"/>
      <c r="M7" s="12" t="inlineStr">
        <is>
          <t>Not started</t>
        </is>
      </c>
      <c r="N7" s="15" t="n"/>
      <c r="O7" s="14" t="n"/>
    </row>
    <row r="8" ht="28.2" customHeight="1">
      <c r="A8" s="12" t="inlineStr">
        <is>
          <t>E21-BL-004</t>
        </is>
      </c>
      <c r="B8" s="12" t="inlineStr">
        <is>
          <t>E21-F02</t>
        </is>
      </c>
      <c r="C8" s="13">
        <f>IFERROR(INDEX('Feature List'!$B$5:$B$10,MATCH(B8,'Feature List'!$A$5:$A$10,0)),"")</f>
        <v/>
      </c>
      <c r="D8" s="12" t="inlineStr">
        <is>
          <t>Enabler</t>
        </is>
      </c>
      <c r="E8" s="13" t="inlineStr">
        <is>
          <t>Add automated accessibility checks to the web unit and end-to-end tests of all four apps</t>
        </is>
      </c>
      <c r="F8" s="13" t="inlineStr">
        <is>
          <t>CI fails on new serious violations; baseline recorded</t>
        </is>
      </c>
      <c r="G8" s="12" t="n">
        <v>5</v>
      </c>
      <c r="H8" s="12" t="inlineStr">
        <is>
          <t>H1</t>
        </is>
      </c>
      <c r="I8" s="12" t="inlineStr">
        <is>
          <t>P1</t>
        </is>
      </c>
      <c r="J8" s="13" t="inlineStr">
        <is>
          <t>Frontend / UX; QA</t>
        </is>
      </c>
      <c r="K8" s="13" t="inlineStr">
        <is>
          <t>–</t>
        </is>
      </c>
      <c r="L8" s="16" t="n"/>
      <c r="M8" s="12" t="inlineStr">
        <is>
          <t>Not started</t>
        </is>
      </c>
      <c r="N8" s="15" t="n"/>
      <c r="O8" s="14" t="n"/>
    </row>
    <row r="9" ht="28.2" customHeight="1">
      <c r="A9" s="12" t="inlineStr">
        <is>
          <t>E21-BL-005</t>
        </is>
      </c>
      <c r="B9" s="12" t="inlineStr">
        <is>
          <t>E21-F03</t>
        </is>
      </c>
      <c r="C9" s="13">
        <f>IFERROR(INDEX('Feature List'!$B$5:$B$10,MATCH(B9,'Feature List'!$A$5:$A$10,0)),"")</f>
        <v/>
      </c>
      <c r="D9" s="12" t="inlineStr">
        <is>
          <t>Enabler</t>
        </is>
      </c>
      <c r="E9" s="13" t="inlineStr">
        <is>
          <t>Introduce a shared locale layer (language, direction, formatting) in the OH workspace, manager workspace and partner portal</t>
        </is>
      </c>
      <c r="F9" s="13" t="inlineStr">
        <is>
          <t>Language switch works without reload; RTL mirrored layout; tests in en and ar</t>
        </is>
      </c>
      <c r="G9" s="12" t="n">
        <v>8</v>
      </c>
      <c r="H9" s="12" t="inlineStr">
        <is>
          <t>H2</t>
        </is>
      </c>
      <c r="I9" s="12" t="inlineStr">
        <is>
          <t>P2</t>
        </is>
      </c>
      <c r="J9" s="13" t="inlineStr">
        <is>
          <t>Frontend / UX</t>
        </is>
      </c>
      <c r="K9" s="13" t="inlineStr">
        <is>
          <t>E18</t>
        </is>
      </c>
      <c r="L9" s="16" t="n"/>
      <c r="M9" s="12" t="inlineStr">
        <is>
          <t>Not started</t>
        </is>
      </c>
      <c r="N9" s="15" t="n"/>
      <c r="O9" s="14" t="n"/>
    </row>
    <row r="10" ht="28.2" customHeight="1">
      <c r="A10" s="12" t="inlineStr">
        <is>
          <t>E21-BL-006</t>
        </is>
      </c>
      <c r="B10" s="12" t="inlineStr">
        <is>
          <t>E21-F03</t>
        </is>
      </c>
      <c r="C10" s="13">
        <f>IFERROR(INDEX('Feature List'!$B$5:$B$10,MATCH(B10,'Feature List'!$A$5:$A$10,0)),"")</f>
        <v/>
      </c>
      <c r="D10" s="12" t="inlineStr">
        <is>
          <t>Enabler</t>
        </is>
      </c>
      <c r="E10" s="13" t="inlineStr">
        <is>
          <t>Arabic glyph shaping, bidirectional text and embedded fonts in PDF generation; tagged PDF output</t>
        </is>
      </c>
      <c r="F10" s="13" t="inlineStr">
        <is>
          <t>Certificates, letters and results render Arabic correctly; PDF/UA checker passes</t>
        </is>
      </c>
      <c r="G10" s="12" t="n">
        <v>8</v>
      </c>
      <c r="H10" s="12" t="inlineStr">
        <is>
          <t>H1</t>
        </is>
      </c>
      <c r="I10" s="12" t="inlineStr">
        <is>
          <t>P1</t>
        </is>
      </c>
      <c r="J10" s="13" t="inlineStr">
        <is>
          <t>Platform / Backend</t>
        </is>
      </c>
      <c r="K10" s="13" t="inlineStr">
        <is>
          <t>–</t>
        </is>
      </c>
      <c r="L10" s="16" t="n"/>
      <c r="M10" s="12" t="inlineStr">
        <is>
          <t>Not started</t>
        </is>
      </c>
      <c r="N10" s="15" t="n"/>
      <c r="O10" s="14" t="n"/>
    </row>
    <row r="11" ht="28.2" customHeight="1">
      <c r="A11" s="12" t="inlineStr">
        <is>
          <t>E21-BL-007</t>
        </is>
      </c>
      <c r="B11" s="12" t="inlineStr">
        <is>
          <t>E21-F03</t>
        </is>
      </c>
      <c r="C11" s="13">
        <f>IFERROR(INDEX('Feature List'!$B$5:$B$10,MATCH(B11,'Feature List'!$A$5:$A$10,0)),"")</f>
        <v/>
      </c>
      <c r="D11" s="12" t="inlineStr">
        <is>
          <t>Story</t>
        </is>
      </c>
      <c r="E11" s="13" t="inlineStr">
        <is>
          <t>As an Arabic-speaking employee I want every employee-app screen in Arabic so that I understand my fitness outcome and my rights</t>
        </is>
      </c>
      <c r="F11" s="13" t="inlineStr">
        <is>
          <t>100 % employee-app screens translated and RTL-reviewed</t>
        </is>
      </c>
      <c r="G11" s="12" t="n">
        <v>8</v>
      </c>
      <c r="H11" s="12" t="inlineStr">
        <is>
          <t>H1</t>
        </is>
      </c>
      <c r="I11" s="12" t="inlineStr">
        <is>
          <t>P1</t>
        </is>
      </c>
      <c r="J11" s="13" t="inlineStr">
        <is>
          <t>Frontend / UX</t>
        </is>
      </c>
      <c r="K11" s="13" t="inlineStr">
        <is>
          <t>E13</t>
        </is>
      </c>
      <c r="L11" s="16" t="n"/>
      <c r="M11" s="12" t="inlineStr">
        <is>
          <t>Not started</t>
        </is>
      </c>
      <c r="N11" s="15" t="n"/>
      <c r="O11" s="14" t="n"/>
    </row>
    <row r="12" ht="28.2" customHeight="1">
      <c r="A12" s="12" t="inlineStr">
        <is>
          <t>E21-BL-008</t>
        </is>
      </c>
      <c r="B12" s="12" t="inlineStr">
        <is>
          <t>E21-F04</t>
        </is>
      </c>
      <c r="C12" s="13">
        <f>IFERROR(INDEX('Feature List'!$B$5:$B$10,MATCH(B12,'Feature List'!$A$5:$A$10,0)),"")</f>
        <v/>
      </c>
      <c r="D12" s="12" t="inlineStr">
        <is>
          <t>Enabler</t>
        </is>
      </c>
      <c r="E12" s="13" t="inlineStr">
        <is>
          <t>Externalise all UI strings and connect a translation-management workflow (export, translate, review, import)</t>
        </is>
      </c>
      <c r="F12" s="13" t="inlineStr">
        <is>
          <t>No hard-coded strings in employee journeys; missing-key report in CI</t>
        </is>
      </c>
      <c r="G12" s="12" t="n">
        <v>5</v>
      </c>
      <c r="H12" s="12" t="inlineStr">
        <is>
          <t>H2</t>
        </is>
      </c>
      <c r="I12" s="12" t="inlineStr">
        <is>
          <t>P2</t>
        </is>
      </c>
      <c r="J12" s="13" t="inlineStr">
        <is>
          <t>Frontend / UX</t>
        </is>
      </c>
      <c r="K12" s="13" t="inlineStr">
        <is>
          <t>–</t>
        </is>
      </c>
      <c r="L12" s="16" t="n"/>
      <c r="M12" s="12" t="inlineStr">
        <is>
          <t>Not started</t>
        </is>
      </c>
      <c r="N12" s="15" t="n"/>
      <c r="O12" s="14" t="n"/>
    </row>
    <row r="13" ht="28.2" customHeight="1">
      <c r="A13" s="12" t="inlineStr">
        <is>
          <t>E21-BL-009</t>
        </is>
      </c>
      <c r="B13" s="12" t="inlineStr">
        <is>
          <t>E21-F04</t>
        </is>
      </c>
      <c r="C13" s="13">
        <f>IFERROR(INDEX('Feature List'!$B$5:$B$10,MATCH(B13,'Feature List'!$A$5:$A$10,0)),"")</f>
        <v/>
      </c>
      <c r="D13" s="12" t="inlineStr">
        <is>
          <t>Story</t>
        </is>
      </c>
      <c r="E13" s="13" t="inlineStr">
        <is>
          <t>As a crew member I want the app in my preferred language from HRIS so that I do not have to set it on every device</t>
        </is>
      </c>
      <c r="F13" s="13" t="inlineStr">
        <is>
          <t>Preference read from HRIS / profile; fall-back to English; change audited</t>
        </is>
      </c>
      <c r="G13" s="12" t="n">
        <v>3</v>
      </c>
      <c r="H13" s="12" t="inlineStr">
        <is>
          <t>H2</t>
        </is>
      </c>
      <c r="I13" s="12" t="inlineStr">
        <is>
          <t>P2</t>
        </is>
      </c>
      <c r="J13" s="13" t="inlineStr">
        <is>
          <t>Frontend / UX</t>
        </is>
      </c>
      <c r="K13" s="13" t="inlineStr">
        <is>
          <t>E15</t>
        </is>
      </c>
      <c r="L13" s="16" t="n"/>
      <c r="M13" s="12" t="inlineStr">
        <is>
          <t>Not started</t>
        </is>
      </c>
      <c r="N13" s="15" t="n"/>
      <c r="O13" s="14" t="n"/>
    </row>
    <row r="14" ht="28.2" customHeight="1">
      <c r="A14" s="12" t="inlineStr">
        <is>
          <t>E21-BL-010</t>
        </is>
      </c>
      <c r="B14" s="12" t="inlineStr">
        <is>
          <t>E21-F05</t>
        </is>
      </c>
      <c r="C14" s="13">
        <f>IFERROR(INDEX('Feature List'!$B$5:$B$10,MATCH(B14,'Feature List'!$A$5:$A$10,0)),"")</f>
        <v/>
      </c>
      <c r="D14" s="12" t="inlineStr">
        <is>
          <t>Task</t>
        </is>
      </c>
      <c r="E14" s="13" t="inlineStr">
        <is>
          <t>Create the clinical translation register and approve validated translations of PHQ-9, GAD-7, consent and signposting texts</t>
        </is>
      </c>
      <c r="F14" s="13" t="inlineStr">
        <is>
          <t>Register in E18; each translation has source version, method, approver and licence</t>
        </is>
      </c>
      <c r="G14" s="12" t="n">
        <v>5</v>
      </c>
      <c r="H14" s="12" t="inlineStr">
        <is>
          <t>H1</t>
        </is>
      </c>
      <c r="I14" s="12" t="inlineStr">
        <is>
          <t>P1</t>
        </is>
      </c>
      <c r="J14" s="13" t="inlineStr">
        <is>
          <t>Clinical SME (OH Nurse / Physician); DPO</t>
        </is>
      </c>
      <c r="K14" s="13" t="inlineStr">
        <is>
          <t>E09, E18</t>
        </is>
      </c>
      <c r="L14" s="16" t="n"/>
      <c r="M14" s="12" t="inlineStr">
        <is>
          <t>Not started</t>
        </is>
      </c>
      <c r="N14" s="15" t="n"/>
      <c r="O14" s="14" t="n"/>
    </row>
    <row r="15" ht="28.2" customHeight="1">
      <c r="A15" s="12" t="inlineStr">
        <is>
          <t>E21-BL-011</t>
        </is>
      </c>
      <c r="B15" s="12" t="inlineStr">
        <is>
          <t>E21-F05</t>
        </is>
      </c>
      <c r="C15" s="13">
        <f>IFERROR(INDEX('Feature List'!$B$5:$B$10,MATCH(B15,'Feature List'!$A$5:$A$10,0)),"")</f>
        <v/>
      </c>
      <c r="D15" s="12" t="inlineStr">
        <is>
          <t>Task</t>
        </is>
      </c>
      <c r="E15" s="13" t="inlineStr">
        <is>
          <t>Extend the clinical-text guard vocabulary to Arabic and French (increment-2 sign-off S14)</t>
        </is>
      </c>
      <c r="F15" s="13" t="inlineStr">
        <is>
          <t>Vocabulary approved by DPO and Nursing Head; guard tests in three languages</t>
        </is>
      </c>
      <c r="G15" s="12" t="n">
        <v>3</v>
      </c>
      <c r="H15" s="12" t="inlineStr">
        <is>
          <t>H1</t>
        </is>
      </c>
      <c r="I15" s="12" t="inlineStr">
        <is>
          <t>P1</t>
        </is>
      </c>
      <c r="J15" s="13" t="inlineStr">
        <is>
          <t>Security &amp; Privacy; Clinical SME (OH Nurse / Physician)</t>
        </is>
      </c>
      <c r="K15" s="13" t="inlineStr">
        <is>
          <t>E16</t>
        </is>
      </c>
      <c r="L15" s="16" t="n"/>
      <c r="M15" s="12" t="inlineStr">
        <is>
          <t>Not started</t>
        </is>
      </c>
      <c r="N15" s="15" t="n"/>
      <c r="O15" s="14" t="n"/>
    </row>
    <row r="16" ht="40.8" customHeight="1">
      <c r="A16" s="12" t="inlineStr">
        <is>
          <t>E21-BL-012</t>
        </is>
      </c>
      <c r="B16" s="12" t="inlineStr">
        <is>
          <t>E21-F06</t>
        </is>
      </c>
      <c r="C16" s="13">
        <f>IFERROR(INDEX('Feature List'!$B$5:$B$10,MATCH(B16,'Feature List'!$A$5:$A$10,0)),"")</f>
        <v/>
      </c>
      <c r="D16" s="12" t="inlineStr">
        <is>
          <t>Story</t>
        </is>
      </c>
      <c r="E16" s="13" t="inlineStr">
        <is>
          <t>As a crew member I want appointment and protocol times in my station time zone and UTC so that I never miss a PEP or surveillance appointment on a layover</t>
        </is>
      </c>
      <c r="F16" s="13" t="inlineStr">
        <is>
          <t>Times rendered with station zone and UTC; tested across 5 zones</t>
        </is>
      </c>
      <c r="G16" s="12" t="n">
        <v>5</v>
      </c>
      <c r="H16" s="12" t="inlineStr">
        <is>
          <t>H2</t>
        </is>
      </c>
      <c r="I16" s="12" t="inlineStr">
        <is>
          <t>P2</t>
        </is>
      </c>
      <c r="J16" s="13" t="inlineStr">
        <is>
          <t>Frontend / UX</t>
        </is>
      </c>
      <c r="K16" s="13" t="inlineStr">
        <is>
          <t>E18</t>
        </is>
      </c>
      <c r="L16" s="16" t="n"/>
      <c r="M16" s="12" t="inlineStr">
        <is>
          <t>Not started</t>
        </is>
      </c>
      <c r="N16" s="15" t="n"/>
      <c r="O16" s="14" t="n"/>
    </row>
    <row r="18">
      <c r="E18" s="17" t="inlineStr">
        <is>
          <t>Total story points (indicative)</t>
        </is>
      </c>
      <c r="G18" s="18">
        <f>SUM(G5:G16)</f>
        <v/>
      </c>
    </row>
    <row r="19">
      <c r="E19" s="17" t="inlineStr">
        <is>
          <t>Items</t>
        </is>
      </c>
      <c r="G19" s="18">
        <f>COUNTA(A5:A16)</f>
        <v/>
      </c>
    </row>
  </sheetData>
  <autoFilter ref="A4:O16"/>
  <mergeCells count="3">
    <mergeCell ref="A1:O1"/>
    <mergeCell ref="A3:O3"/>
    <mergeCell ref="A2:O2"/>
  </mergeCells>
  <conditionalFormatting sqref="I5:I16">
    <cfRule type="cellIs" priority="1" operator="equal" dxfId="0">
      <formula>"P1"</formula>
    </cfRule>
  </conditionalFormatting>
  <dataValidations count="5">
    <dataValidation sqref="M5:M16" showDropDown="0" showInputMessage="0" showErrorMessage="0" allowBlank="1" type="list">
      <formula1>"Not started,In analysis,Ready,In progress,Done,Deferred"</formula1>
    </dataValidation>
    <dataValidation sqref="N5:N16" showDropDown="0" showInputMessage="0" showErrorMessage="0" allowBlank="1" type="list">
      <formula1>"Accept,Modify,Reject,Defer"</formula1>
    </dataValidation>
    <dataValidation sqref="H5:H16" showDropDown="0" showInputMessage="0" showErrorMessage="0" allowBlank="1" type="list">
      <formula1>"H1,H2,H3"</formula1>
    </dataValidation>
    <dataValidation sqref="I5:I16" showDropDown="0" showInputMessage="0" showErrorMessage="0" allowBlank="1" type="list">
      <formula1>"P1,P2,P3"</formula1>
    </dataValidation>
    <dataValidation sqref="D5:D16" showDropDown="0" showInputMessage="0" showErrorMessage="0" allowBlank="1" type="list">
      <formula1>"Story,Enabler,Task,Spike"</formula1>
    </dataValidation>
  </dataValidations>
  <pageMargins left="0.75" right="0.75" top="1" bottom="1" header="0.5" footer="0.5"/>
  <pageSetup orientation="landscape" paperSize="9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D57"/>
  <sheetViews>
    <sheetView workbookViewId="0">
      <selection activeCell="A1" sqref="A1"/>
    </sheetView>
  </sheetViews>
  <sheetFormatPr baseColWidth="8" defaultRowHeight="15"/>
  <cols>
    <col width="18" customWidth="1" min="1" max="1"/>
    <col width="120" customWidth="1" min="2" max="2"/>
  </cols>
  <sheetData>
    <row r="1" ht="17.35" customHeight="1">
      <c r="A1" s="1" t="inlineStr">
        <is>
          <t>Legends – unit codes, standards, horizons, owners</t>
        </is>
      </c>
    </row>
    <row r="2" ht="15" customHeight="1">
      <c r="A2" s="2" t="inlineStr">
        <is>
          <t>Reference for codes used in this workbook</t>
        </is>
      </c>
    </row>
    <row r="3" ht="15" customHeight="1">
      <c r="A3" s="3" t="inlineStr">
        <is>
          <t>Airline Group Occupational Health Case Management (OHCM) | v1.0 – Strategy beyond increment 5, draft for C-suite, CIO, CMO / Nursing Head and Cyber GRC review | 30 October 2026</t>
        </is>
      </c>
    </row>
    <row r="4" ht="31.5" customHeight="1">
      <c r="A4" s="11" t="inlineStr">
        <is>
          <t>Code</t>
        </is>
      </c>
      <c r="B4" s="11" t="inlineStr">
        <is>
          <t>Meaning</t>
        </is>
      </c>
    </row>
    <row r="5" ht="15.6" customHeight="1">
      <c r="A5" s="13" t="inlineStr">
        <is>
          <t>ALL</t>
        </is>
      </c>
      <c r="B5" s="13" t="inlineStr">
        <is>
          <t>All subsidiaries &amp; departments (group-wide)</t>
        </is>
      </c>
    </row>
    <row r="6" ht="15.6" customHeight="1">
      <c r="A6" s="13" t="inlineStr">
        <is>
          <t>FLT</t>
        </is>
      </c>
      <c r="B6" s="13" t="inlineStr">
        <is>
          <t>Flight Operations – pilots / flight crew</t>
        </is>
      </c>
    </row>
    <row r="7" ht="15.6" customHeight="1">
      <c r="A7" s="13" t="inlineStr">
        <is>
          <t>CAB</t>
        </is>
      </c>
      <c r="B7" s="13" t="inlineStr">
        <is>
          <t>Cabin Services – cabin crew</t>
        </is>
      </c>
    </row>
    <row r="8" ht="15.6" customHeight="1">
      <c r="A8" s="13" t="inlineStr">
        <is>
          <t>GND</t>
        </is>
      </c>
      <c r="B8" s="13" t="inlineStr">
        <is>
          <t>Ground Services – ramp, baggage, aircraft turnaround, GSE drivers</t>
        </is>
      </c>
    </row>
    <row r="9" ht="15.6" customHeight="1">
      <c r="A9" s="13" t="inlineStr">
        <is>
          <t>CGO</t>
        </is>
      </c>
      <c r="B9" s="13" t="inlineStr">
        <is>
          <t>Cargo &amp; Freight – warehouse, DGR/hazmat handling, cold chain, forklift</t>
        </is>
      </c>
    </row>
    <row r="10" ht="15.6" customHeight="1">
      <c r="A10" s="13" t="inlineStr">
        <is>
          <t>CAT</t>
        </is>
      </c>
      <c r="B10" s="13" t="inlineStr">
        <is>
          <t>Catering – food production, food handlers, cold rooms, dish-wash, knives</t>
        </is>
      </c>
    </row>
    <row r="11" ht="15.6" customHeight="1">
      <c r="A11" s="13" t="inlineStr">
        <is>
          <t>ENG</t>
        </is>
      </c>
      <c r="B11" s="13" t="inlineStr">
        <is>
          <t>Engineering &amp; Maintenance – hangar, hazmat/chemicals, noise, heights, confined space</t>
        </is>
      </c>
    </row>
    <row r="12" ht="15.6" customHeight="1">
      <c r="A12" s="13" t="inlineStr">
        <is>
          <t>SEC</t>
        </is>
      </c>
      <c r="B12" s="13" t="inlineStr">
        <is>
          <t>Security, Fire &amp; Rescue, Medical Response</t>
        </is>
      </c>
    </row>
    <row r="13" ht="15.6" customHeight="1">
      <c r="A13" s="13" t="inlineStr">
        <is>
          <t>H1</t>
        </is>
      </c>
      <c r="B13" s="13" t="inlineStr">
        <is>
          <t>Horizon 1 – Go-live readiness and close the gaps (months 0–6)</t>
        </is>
      </c>
    </row>
    <row r="14" ht="15.6" customHeight="1">
      <c r="A14" s="13" t="inlineStr">
        <is>
          <t>H2</t>
        </is>
      </c>
      <c r="B14" s="13" t="inlineStr">
        <is>
          <t>Horizon 2 – Scale, intelligence and experience (months 6–18)</t>
        </is>
      </c>
    </row>
    <row r="15" ht="15.6" customHeight="1">
      <c r="A15" s="13" t="inlineStr">
        <is>
          <t>H3</t>
        </is>
      </c>
      <c r="B15" s="13" t="inlineStr">
        <is>
          <t>Horizon 3 – Ecosystem and industry-leading OH platform (months 18–36)</t>
        </is>
      </c>
    </row>
    <row r="16" ht="15.6" customHeight="1">
      <c r="A16" s="13" t="inlineStr">
        <is>
          <t>P1 / P2 / P3</t>
        </is>
      </c>
      <c r="B16" s="13" t="inlineStr">
        <is>
          <t>Backlog priority: P1 critical, P2 important, P3 desirable</t>
        </is>
      </c>
    </row>
    <row r="17" ht="15.6" customHeight="1">
      <c r="A17" s="13" t="inlineStr">
        <is>
          <t>ISO45001</t>
        </is>
      </c>
      <c r="B17" s="13" t="inlineStr">
        <is>
          <t>ISO 45001:2018 – OH&amp;S management systems</t>
        </is>
      </c>
    </row>
    <row r="18" ht="15.6" customHeight="1">
      <c r="A18" s="13" t="inlineStr">
        <is>
          <t>ISO45003</t>
        </is>
      </c>
      <c r="B18" s="13" t="inlineStr">
        <is>
          <t>ISO 45003:2021 – psychological health &amp; safety / psychosocial risk</t>
        </is>
      </c>
    </row>
    <row r="19" ht="15.6" customHeight="1">
      <c r="A19" s="13" t="inlineStr">
        <is>
          <t>ISO27001</t>
        </is>
      </c>
      <c r="B19" s="13" t="inlineStr">
        <is>
          <t>ISO/IEC 27001:2022 – information security management, Annex A</t>
        </is>
      </c>
    </row>
    <row r="20" ht="15.6" customHeight="1">
      <c r="A20" s="13" t="inlineStr">
        <is>
          <t>ISO27017</t>
        </is>
      </c>
      <c r="B20" s="13" t="inlineStr">
        <is>
          <t>ISO/IEC 27017 – information security controls for cloud services (tenant segregation)</t>
        </is>
      </c>
    </row>
    <row r="21" ht="15.6" customHeight="1">
      <c r="A21" s="13" t="inlineStr">
        <is>
          <t>ISO27701</t>
        </is>
      </c>
      <c r="B21" s="13" t="inlineStr">
        <is>
          <t>ISO/IEC 27701 – privacy information management</t>
        </is>
      </c>
    </row>
    <row r="22" ht="15.6" customHeight="1">
      <c r="A22" s="13" t="inlineStr">
        <is>
          <t>ISO22301</t>
        </is>
      </c>
      <c r="B22" s="13" t="inlineStr">
        <is>
          <t>ISO 22301 – business continuity management</t>
        </is>
      </c>
    </row>
    <row r="23" ht="15.6" customHeight="1">
      <c r="A23" s="13" t="inlineStr">
        <is>
          <t>ISO20889</t>
        </is>
      </c>
      <c r="B23" s="13" t="inlineStr">
        <is>
          <t>ISO/IEC 20889 – privacy-enhancing data de-identification techniques</t>
        </is>
      </c>
    </row>
    <row r="24" ht="15.6" customHeight="1">
      <c r="A24" s="13" t="inlineStr">
        <is>
          <t>ISO25012</t>
        </is>
      </c>
      <c r="B24" s="13" t="inlineStr">
        <is>
          <t>ISO/IEC 25012 – data quality model</t>
        </is>
      </c>
    </row>
    <row r="25" ht="15.6" customHeight="1">
      <c r="A25" s="13" t="inlineStr">
        <is>
          <t>ISO42001</t>
        </is>
      </c>
      <c r="B25" s="13" t="inlineStr">
        <is>
          <t>ISO/IEC 42001 – AI management system</t>
        </is>
      </c>
    </row>
    <row r="26" ht="15.6" customHeight="1">
      <c r="A26" s="13" t="inlineStr">
        <is>
          <t>ISO23894</t>
        </is>
      </c>
      <c r="B26" s="13" t="inlineStr">
        <is>
          <t>ISO/IEC 23894 – AI risk management</t>
        </is>
      </c>
    </row>
    <row r="27" ht="15.6" customHeight="1">
      <c r="A27" s="13" t="inlineStr">
        <is>
          <t>NIST-AI-RMF</t>
        </is>
      </c>
      <c r="B27" s="13" t="inlineStr">
        <is>
          <t>NIST AI Risk Management Framework 1.0</t>
        </is>
      </c>
    </row>
    <row r="28" ht="15.6" customHeight="1">
      <c r="A28" s="13" t="inlineStr">
        <is>
          <t>EU-AI-ACT</t>
        </is>
      </c>
      <c r="B28" s="13" t="inlineStr">
        <is>
          <t>Reg (EU) 2024/1689 (AI Act) – used as benchmark for risk classification, human oversight and transparency; local AI regulation applies</t>
        </is>
      </c>
    </row>
    <row r="29" ht="15.6" customHeight="1">
      <c r="A29" s="13" t="inlineStr">
        <is>
          <t>DCB0129</t>
        </is>
      </c>
      <c r="B29" s="13" t="inlineStr">
        <is>
          <t>DCB0129 / DCB0160 – clinical risk management for health IT manufacture and deployment (UK standards, used as benchmark)</t>
        </is>
      </c>
    </row>
    <row r="30" ht="15.6" customHeight="1">
      <c r="A30" s="13" t="inlineStr">
        <is>
          <t>SOC2</t>
        </is>
      </c>
      <c r="B30" s="13" t="inlineStr">
        <is>
          <t>AICPA Trust Services Criteria – CC (security), A (availability), C (confidentiality), PI, P</t>
        </is>
      </c>
    </row>
    <row r="31" ht="15.6" customHeight="1">
      <c r="A31" s="13" t="inlineStr">
        <is>
          <t>SRE</t>
        </is>
      </c>
      <c r="B31" s="13" t="inlineStr">
        <is>
          <t>Site reliability engineering practice – service-level objectives, error budgets, burn-rate alerting</t>
        </is>
      </c>
    </row>
    <row r="32" ht="15.6" customHeight="1">
      <c r="A32" s="13" t="inlineStr">
        <is>
          <t>CIS-K8S</t>
        </is>
      </c>
      <c r="B32" s="13" t="inlineStr">
        <is>
          <t>CIS Kubernetes / AKS benchmarks</t>
        </is>
      </c>
    </row>
    <row r="33" ht="15.6" customHeight="1">
      <c r="A33" s="13" t="inlineStr">
        <is>
          <t>NIST-SSDF</t>
        </is>
      </c>
      <c r="B33" s="13" t="inlineStr">
        <is>
          <t>NIST SP 800-218 Secure Software Development Framework</t>
        </is>
      </c>
    </row>
    <row r="34" ht="15.6" customHeight="1">
      <c r="A34" s="13" t="inlineStr">
        <is>
          <t>SLSA</t>
        </is>
      </c>
      <c r="B34" s="13" t="inlineStr">
        <is>
          <t>Supply-chain Levels for Software Artifacts – build provenance</t>
        </is>
      </c>
    </row>
    <row r="35" ht="15.6" customHeight="1">
      <c r="A35" s="13" t="inlineStr">
        <is>
          <t>OWASP-MASVS</t>
        </is>
      </c>
      <c r="B35" s="13" t="inlineStr">
        <is>
          <t>OWASP Mobile Application Security Verification Standard v2</t>
        </is>
      </c>
    </row>
    <row r="36" ht="15.6" customHeight="1">
      <c r="A36" s="13" t="inlineStr">
        <is>
          <t>WCAG22</t>
        </is>
      </c>
      <c r="B36" s="13" t="inlineStr">
        <is>
          <t>W3C Web Content Accessibility Guidelines 2.2, level AA</t>
        </is>
      </c>
    </row>
    <row r="37" ht="15.6" customHeight="1">
      <c r="A37" s="13" t="inlineStr">
        <is>
          <t>EN301549</t>
        </is>
      </c>
      <c r="B37" s="13" t="inlineStr">
        <is>
          <t>EN 301 549 – accessibility requirements for ICT products and services</t>
        </is>
      </c>
    </row>
    <row r="38" ht="15.6" customHeight="1">
      <c r="A38" s="13" t="inlineStr">
        <is>
          <t>PDF-UA</t>
        </is>
      </c>
      <c r="B38" s="13" t="inlineStr">
        <is>
          <t>ISO 14289 – accessible PDF</t>
        </is>
      </c>
    </row>
    <row r="39" ht="15.6" customHeight="1">
      <c r="A39" s="13" t="inlineStr">
        <is>
          <t>HL7-FHIR</t>
        </is>
      </c>
      <c r="B39" s="13" t="inlineStr">
        <is>
          <t>HL7 FHIR R4 / R4B / R5 incl. subscriptions; SMART App Launch</t>
        </is>
      </c>
    </row>
    <row r="40" ht="15.6" customHeight="1">
      <c r="A40" s="13" t="inlineStr">
        <is>
          <t>HL7-ODH</t>
        </is>
      </c>
      <c r="B40" s="13" t="inlineStr">
        <is>
          <t>HL7 FHIR Occupational Data for Health (ODH) IG</t>
        </is>
      </c>
    </row>
    <row r="41" ht="15.6" customHeight="1">
      <c r="A41" s="13" t="inlineStr">
        <is>
          <t>HL7-V2</t>
        </is>
      </c>
      <c r="B41" s="13" t="inlineStr">
        <is>
          <t>HL7 version 2.5.1 messaging (ORU, ORM, ADT)</t>
        </is>
      </c>
    </row>
    <row r="42" ht="15.6" customHeight="1">
      <c r="A42" s="13" t="inlineStr">
        <is>
          <t>IHE</t>
        </is>
      </c>
      <c r="B42" s="13" t="inlineStr">
        <is>
          <t>IHE IT Infrastructure profiles – MHD, XDS.b, PIXm, PDQm, ATNA, IUA</t>
        </is>
      </c>
    </row>
    <row r="43" ht="15.6" customHeight="1">
      <c r="A43" s="13" t="inlineStr">
        <is>
          <t>SNOMED-ICD</t>
        </is>
      </c>
      <c r="B43" s="13" t="inlineStr">
        <is>
          <t>SNOMED CT / ICD-10 or ICD-11 / LOINC – clinical, diagnosis and lab coding</t>
        </is>
      </c>
    </row>
    <row r="44" ht="15.6" customHeight="1">
      <c r="A44" s="13" t="inlineStr">
        <is>
          <t>EASA-MED</t>
        </is>
      </c>
      <c r="B44" s="13" t="inlineStr">
        <is>
          <t>EASA Part-MED (Reg (EU) 1178/2011 Annex IV) – pilot medical certificates, cabin crew medical reports</t>
        </is>
      </c>
    </row>
    <row r="45" ht="15.6" customHeight="1">
      <c r="A45" s="13" t="inlineStr">
        <is>
          <t>ICAO-A1</t>
        </is>
      </c>
      <c r="B45" s="13" t="inlineStr">
        <is>
          <t>ICAO Annex 1 Ch. 6 – medical provisions for licensing</t>
        </is>
      </c>
    </row>
    <row r="46" ht="15.6" customHeight="1">
      <c r="A46" s="13" t="inlineStr">
        <is>
          <t>ICAO-A6</t>
        </is>
      </c>
      <c r="B46" s="13" t="inlineStr">
        <is>
          <t>ICAO Annex 6 – operator responsibilities incl. fatigue management (FRMS); ICAO Doc 9966 FRMS manual</t>
        </is>
      </c>
    </row>
    <row r="47" ht="15.6" customHeight="1">
      <c r="A47" s="13" t="inlineStr">
        <is>
          <t>ICAO-8984</t>
        </is>
      </c>
      <c r="B47" s="13" t="inlineStr">
        <is>
          <t>ICAO Doc 8984 – Manual of Civil Aviation Medicine</t>
        </is>
      </c>
    </row>
    <row r="48" ht="15.6" customHeight="1">
      <c r="A48" s="13" t="inlineStr">
        <is>
          <t>IOSA</t>
        </is>
      </c>
      <c r="B48" s="13" t="inlineStr">
        <is>
          <t>IATA Operational Safety Audit – crew fitness and SMS standards</t>
        </is>
      </c>
    </row>
    <row r="49" ht="15.6" customHeight="1">
      <c r="A49" s="13" t="inlineStr">
        <is>
          <t>ILO-C161</t>
        </is>
      </c>
      <c r="B49" s="13" t="inlineStr">
        <is>
          <t>ILO Convention C161 – occupational health services</t>
        </is>
      </c>
    </row>
    <row r="50" ht="15.6" customHeight="1">
      <c r="A50" s="13" t="inlineStr">
        <is>
          <t>WHO-IHR</t>
        </is>
      </c>
      <c r="B50" s="13" t="inlineStr">
        <is>
          <t>WHO International Health Regulations – preparedness and reporting</t>
        </is>
      </c>
    </row>
    <row r="51" ht="15.6" customHeight="1">
      <c r="A51" s="13" t="inlineStr">
        <is>
          <t>HIMSS</t>
        </is>
      </c>
      <c r="B51" s="13" t="inlineStr">
        <is>
          <t>HIMSS Digital Health Indicator (incl. interoperability, person-enabled health, predictive analytics)</t>
        </is>
      </c>
    </row>
    <row r="52" ht="15.6" customHeight="1">
      <c r="A52" s="13" t="inlineStr">
        <is>
          <t>LOCAL-OHS</t>
        </is>
      </c>
      <c r="B52" s="13" t="inlineStr">
        <is>
          <t>Local labour law, national OH&amp;S regulation and civil aviation authority medical requirements (e.g. UK CAA, UAE GCAA)</t>
        </is>
      </c>
    </row>
    <row r="53" ht="15.6" customHeight="1">
      <c r="A53" s="13" t="inlineStr">
        <is>
          <t>LOCAL-PDP</t>
        </is>
      </c>
      <c r="B53" s="13" t="inlineStr">
        <is>
          <t>Local personal-data-protection law + GDPR Art. 9 (special-category health data) as benchmark</t>
        </is>
      </c>
    </row>
    <row r="54" ht="15.6" customHeight="1">
      <c r="A54" s="13" t="inlineStr">
        <is>
          <t>Type: Story</t>
        </is>
      </c>
      <c r="B54" s="13" t="inlineStr">
        <is>
          <t>User-facing functionality expressed as a user story</t>
        </is>
      </c>
    </row>
    <row r="55" ht="15.6" customHeight="1">
      <c r="A55" s="13" t="inlineStr">
        <is>
          <t>Type: Enabler</t>
        </is>
      </c>
      <c r="B55" s="13" t="inlineStr">
        <is>
          <t>Architectural / technical foundation work</t>
        </is>
      </c>
    </row>
    <row r="56" ht="15.6" customHeight="1">
      <c r="A56" s="13" t="inlineStr">
        <is>
          <t>Type: Task</t>
        </is>
      </c>
      <c r="B56" s="13" t="inlineStr">
        <is>
          <t>Non-development work (content, configuration, governance, training, procurement)</t>
        </is>
      </c>
    </row>
    <row r="57" ht="15.6" customHeight="1">
      <c r="A57" s="13" t="inlineStr">
        <is>
          <t>Type: Spike</t>
        </is>
      </c>
      <c r="B57" s="13" t="inlineStr">
        <is>
          <t>Time-boxed investigation to remove uncertainty</t>
        </is>
      </c>
    </row>
  </sheetData>
  <mergeCells count="3">
    <mergeCell ref="A1:D1"/>
    <mergeCell ref="A3:D3"/>
    <mergeCell ref="A2:D2"/>
  </mergeCells>
  <pageMargins left="0.75" right="0.75" top="1" bottom="1" header="0.5" footer="0.5"/>
  <pageSetup orientation="landscape" paperSize="9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WellnessZ Product &amp; Architecture</dc:creator>
  <dc:title xmlns:dc="http://purl.org/dc/elements/1.1/">E21 – Accessibility &amp; Internationalisation</dc:title>
  <dc:subject xmlns:dc="http://purl.org/dc/elements/1.1/">WellnessZ OHCM – strategy epic workbook</dc:subject>
  <dcterms:created xmlns:dcterms="http://purl.org/dc/terms/" xmlns:xsi="http://www.w3.org/2001/XMLSchema-instance" xsi:type="dcterms:W3CDTF">2026-10-30T13:11:13Z</dcterms:created>
  <dcterms:modified xmlns:dcterms="http://purl.org/dc/terms/" xmlns:xsi="http://www.w3.org/2001/XMLSchema-instance" xsi:type="dcterms:W3CDTF">2026-10-30T13:11:13Z</dcterms:modified>
</cp:coreProperties>
</file>