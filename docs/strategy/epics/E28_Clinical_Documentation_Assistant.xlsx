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c Overview" sheetId="1" state="visible" r:id="rId1"/>
    <sheet xmlns:r="http://schemas.openxmlformats.org/officeDocument/2006/relationships" name="High-Level Requirements" sheetId="2" state="visible" r:id="rId2"/>
    <sheet xmlns:r="http://schemas.openxmlformats.org/officeDocument/2006/relationships" name="Feature List" sheetId="3" state="visible" r:id="rId3"/>
    <sheet xmlns:r="http://schemas.openxmlformats.org/officeDocument/2006/relationships" name="Implementation Backlog" sheetId="4" state="visible" r:id="rId4"/>
    <sheet xmlns:r="http://schemas.openxmlformats.org/officeDocument/2006/relationships" name="Legends" sheetId="5" state="visible" r:id="rId5"/>
  </sheets>
  <definedNames>
    <definedName name="_xlnm.Print_Titles" localSheetId="0">'Epic Overview'!$4:$4</definedName>
    <definedName name="_xlnm._FilterDatabase" localSheetId="1" hidden="1">'High-Level Requirements'!$A$4:$H$9</definedName>
    <definedName name="_xlnm.Print_Titles" localSheetId="1">'High-Level Requirements'!$4:$4</definedName>
    <definedName name="_xlnm._FilterDatabase" localSheetId="2" hidden="1">'Feature List'!$A$4:$J$9</definedName>
    <definedName name="_xlnm.Print_Titles" localSheetId="2">'Feature List'!$4:$4</definedName>
    <definedName name="_xlnm._FilterDatabase" localSheetId="3" hidden="1">'Implementation Backlog'!$A$4:$O$16</definedName>
    <definedName name="_xlnm.Print_Titles" localSheetId="3">'Implementation Backlog'!$4:$4</definedName>
    <definedName name="_xlnm.Print_Titles" localSheetId="4">'Legends'!$4:$4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color rgb="FF595959"/>
      <sz val="10"/>
    </font>
    <font>
      <name val="Arial"/>
      <color rgb="FF7F7F7F"/>
      <sz val="9"/>
    </font>
    <font>
      <name val="Arial"/>
      <b val="1"/>
      <color rgb="FF1F3864"/>
      <sz val="10"/>
    </font>
    <font>
      <name val="Arial"/>
      <color rgb="FF000000"/>
      <sz val="10"/>
    </font>
    <font>
      <name val="Arial"/>
      <b val="1"/>
      <color rgb="FF1F3864"/>
      <sz val="11"/>
    </font>
    <font>
      <name val="Arial"/>
      <b val="1"/>
      <color rgb="FF000000"/>
      <sz val="10"/>
    </font>
    <font>
      <name val="Arial"/>
      <color rgb="FF404040"/>
      <sz val="9"/>
    </font>
    <font>
      <name val="Arial"/>
      <b val="1"/>
      <color rgb="FFFFFFF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1" pivotButton="0" quotePrefix="0" xfId="0"/>
    <xf numFmtId="0" fontId="6" fillId="0" borderId="0" pivotButton="0" quotePrefix="0" xfId="0"/>
    <xf numFmtId="0" fontId="7" fillId="3" borderId="1" applyAlignment="1" pivotButton="0" quotePrefix="0" xfId="0">
      <alignment vertical="top" wrapText="1"/>
    </xf>
    <xf numFmtId="0" fontId="5" fillId="0" borderId="1" applyAlignment="1" pivotButton="0" quotePrefix="0" xfId="0">
      <alignment horizontal="left"/>
    </xf>
    <xf numFmtId="0" fontId="8" fillId="0" borderId="0" applyAlignment="1" pivotButton="0" quotePrefix="0" xfId="0">
      <alignment vertical="top" wrapText="1"/>
    </xf>
    <xf numFmtId="0" fontId="9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/>
    </xf>
    <xf numFmtId="0" fontId="10" fillId="0" borderId="0" pivotButton="0" quotePrefix="0" xfId="0"/>
    <xf numFmtId="0" fontId="10" fillId="0" borderId="0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5" customWidth="1" min="2" max="2"/>
    <col width="22" customWidth="1" min="3" max="3"/>
  </cols>
  <sheetData>
    <row r="1" ht="17.35" customHeight="1">
      <c r="A1" s="1" t="inlineStr">
        <is>
          <t>E28 – Clinical Documentation Assistant (governed)</t>
        </is>
      </c>
    </row>
    <row r="2" ht="15" customHeight="1">
      <c r="A2" s="2" t="inlineStr">
        <is>
          <t>Epic overview, scope, value, KPIs and summary metrics (review with the C-suite sponsor, CIO, CMO / Nursing Head and Cyber GRC)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5" ht="15.6" customHeight="1">
      <c r="A5" s="4" t="inlineStr">
        <is>
          <t>Epic ID</t>
        </is>
      </c>
      <c r="B5" s="5" t="inlineStr">
        <is>
          <t>E28</t>
        </is>
      </c>
    </row>
    <row r="6" ht="15.6" customHeight="1">
      <c r="A6" s="4" t="inlineStr">
        <is>
          <t>Epic name</t>
        </is>
      </c>
      <c r="B6" s="5" t="inlineStr">
        <is>
          <t>Clinical Documentation Assistant (governed)</t>
        </is>
      </c>
    </row>
    <row r="7" ht="53.4" customHeight="1">
      <c r="A7" s="4" t="inlineStr">
        <is>
          <t>Goal</t>
        </is>
      </c>
      <c r="B7" s="5" t="inlineStr">
        <is>
          <t>Enable the platform's existing, consent-gated documentation-assistant extension point (AiDocumentationProvider) with an in-country, governed provider: dictation or consented ambient capture produces a draft structured note, case summary, handover or referral-letter draft that the clinician edits and signs; assistant involvement is flagged and audited; restricted classes are excluded by default; quality is measured continuously.</t>
        </is>
      </c>
      <c r="C7" s="6" t="n"/>
    </row>
    <row r="8" ht="40.8" customHeight="1">
      <c r="A8" s="4" t="inlineStr">
        <is>
          <t>Business value</t>
        </is>
      </c>
      <c r="B8" s="5" t="inlineStr">
        <is>
          <t>The client E03 KPI targets −30 % documentation time with templates and assistance; the illustrative business case values documentation savings among the largest benefits. Clinician time returned to patients improves access and wait times. The extension point, consent purpose and audit already exist – the remaining work is governance, provider and evaluation.</t>
        </is>
      </c>
      <c r="C8" s="6" t="n"/>
    </row>
    <row r="9" ht="78.59999999999999" customHeight="1">
      <c r="A9" s="4" t="inlineStr">
        <is>
          <t>In scope</t>
        </is>
      </c>
      <c r="B9" s="5" t="inlineStr">
        <is>
          <t>• Evaluation spike and DPIA (D13), 5-clinician pilot (increment-2 recommendation), then staged roll-out
• In-country provider integration behind AiDocumentationProvider (locally hosted or contracted with DPA and in-country processing)
• Dictation and consented ambient capture front end; Arabic and English transcripts
• Draft note, case summary, handover and referral-letter drafts; clinician edit and sign-off
• Evaluation harness: accuracy, omissions, unsupported statements; monitoring in use
• Optional on-host OCR for scanned images (D14) where volumes justify</t>
        </is>
      </c>
      <c r="C9" s="6" t="n"/>
    </row>
    <row r="10" ht="40.8" customHeight="1">
      <c r="A10" s="4" t="inlineStr">
        <is>
          <t>Out of scope</t>
        </is>
      </c>
      <c r="B10" s="5" t="inlineStr">
        <is>
          <t>• Autonomous documentation or coding without clinician sign-off
• Use in E09 / E10 restricted classes unless separately approved
• Diagnostic decision support beyond existing CDS rules</t>
        </is>
      </c>
      <c r="C10" s="6" t="n"/>
    </row>
    <row r="11" ht="15.6" customHeight="1">
      <c r="A11" s="4" t="inlineStr">
        <is>
          <t>Primary stakeholders / roles</t>
        </is>
      </c>
      <c r="B11" s="5" t="inlineStr">
        <is>
          <t>CMO; Clinical safety officer; DPO; OH physicians and nurses (pilot group); Cyber GRC; Nursing Head; Employee representatives</t>
        </is>
      </c>
      <c r="C11" s="6" t="n"/>
    </row>
    <row r="12" ht="66" customHeight="1">
      <c r="A12" s="4" t="inlineStr">
        <is>
          <t>Success KPIs</t>
        </is>
      </c>
      <c r="B12" s="5" t="inlineStr">
        <is>
          <t>• Documentation time per encounter −30 % vs baseline (E03 KPI)
• ≥ 80 % of drafts accepted with minor edits in pilot
• 0 signed notes containing unreviewed assistant content (audit check)
• 100 % of assistant-assisted notes flagged and audited
• Employee consent uptake tracked; 0 complaints upheld about assistant use</t>
        </is>
      </c>
      <c r="C12" s="6" t="n"/>
    </row>
    <row r="13" ht="28.2" customHeight="1">
      <c r="A13" s="4" t="inlineStr">
        <is>
          <t>Dependencies</t>
        </is>
      </c>
      <c r="B13" s="5" t="inlineStr">
        <is>
          <t>E03 Record (extension point, consent purpose); E16 Consent and audit; E19 Security (provider assessment); E21 Arabic language support; E27 AI governance board (shared)</t>
        </is>
      </c>
      <c r="C13" s="6" t="n"/>
    </row>
    <row r="14" ht="53.4" customHeight="1">
      <c r="A14" s="4" t="inlineStr">
        <is>
          <t>Standards &amp; references</t>
        </is>
      </c>
      <c r="B14" s="5" t="inlineStr">
        <is>
          <t>• DCB0129 / DCB0160 clinical risk management (benchmark)
• EU-AI-ACT transparency obligations as benchmark; ISO42001
• LOCAL-PDP (DPIA, processor DPA, in-country processing)
• ISO27001 supplier security</t>
        </is>
      </c>
      <c r="C14" s="6" t="n"/>
    </row>
    <row r="15" ht="40.8" customHeight="1">
      <c r="A15" s="4" t="inlineStr">
        <is>
          <t>Evidence base (why now)</t>
        </is>
      </c>
      <c r="B15" s="5" t="inlineStr">
        <is>
          <t>Increment-2: consent-gated assistant extension point with no provider enabled, no audio capture front end, pilot not run (E03-BL-019); sign-off S11: provider and DPIA pending; decision D13: run the evaluation spike with DPIA before enabling any provider; client E03-HLR-07 requires explicit consent, clinician review and sign-off, and a draft within 60 s.</t>
        </is>
      </c>
      <c r="C15" s="6" t="n"/>
    </row>
    <row r="16" ht="15.6" customHeight="1">
      <c r="A16" s="4" t="inlineStr">
        <is>
          <t>Recommended start horizon</t>
        </is>
      </c>
      <c r="B16" s="5" t="inlineStr">
        <is>
          <t>H1 – evaluation spike and DPIA; H2 – pilot and staged roll-out</t>
        </is>
      </c>
    </row>
    <row r="18">
      <c r="A18" s="7" t="inlineStr">
        <is>
          <t>Summary metrics (formula-driven)</t>
        </is>
      </c>
    </row>
    <row r="19" ht="15" customHeight="1">
      <c r="A19" s="8" t="inlineStr">
        <is>
          <t>Number of high-level requirements</t>
        </is>
      </c>
      <c r="B19" s="9">
        <f>COUNTA('High-Level Requirements'!A5:A9)</f>
        <v/>
      </c>
    </row>
    <row r="20" ht="15" customHeight="1">
      <c r="A20" s="8" t="inlineStr">
        <is>
          <t>Number of features</t>
        </is>
      </c>
      <c r="B20" s="9">
        <f>COUNTA('Feature List'!A5:A9)</f>
        <v/>
      </c>
    </row>
    <row r="21" ht="15" customHeight="1">
      <c r="A21" s="8" t="inlineStr">
        <is>
          <t>Number of backlog items</t>
        </is>
      </c>
      <c r="B21" s="9">
        <f>COUNTA('Implementation Backlog'!A5:A16)</f>
        <v/>
      </c>
    </row>
    <row r="22" ht="15" customHeight="1">
      <c r="A22" s="8" t="inlineStr">
        <is>
          <t>Total story points (indicative)</t>
        </is>
      </c>
      <c r="B22" s="9">
        <f>SUM('Implementation Backlog'!G5:G16)</f>
        <v/>
      </c>
    </row>
    <row r="23" ht="15" customHeight="1">
      <c r="A23" s="8" t="inlineStr">
        <is>
          <t>Story points – H1 (0–6 months)</t>
        </is>
      </c>
      <c r="B23" s="9">
        <f>SUMIF('Implementation Backlog'!H5:H16,"H1",'Implementation Backlog'!G5:G16)</f>
        <v/>
      </c>
    </row>
    <row r="24" ht="15" customHeight="1">
      <c r="A24" s="8" t="inlineStr">
        <is>
          <t>Story points – H2 (6–18 months)</t>
        </is>
      </c>
      <c r="B24" s="9">
        <f>SUMIF('Implementation Backlog'!H5:H16,"H2",'Implementation Backlog'!G5:G16)</f>
        <v/>
      </c>
    </row>
    <row r="25" ht="15" customHeight="1">
      <c r="A25" s="8" t="inlineStr">
        <is>
          <t>Story points – H3 (18–36 months)</t>
        </is>
      </c>
      <c r="B25" s="9">
        <f>SUMIF('Implementation Backlog'!H5:H16,"H3",'Implementation Backlog'!G5:G16)</f>
        <v/>
      </c>
    </row>
    <row r="26" ht="27" customHeight="1">
      <c r="A26" s="8" t="inlineStr">
        <is>
          <t>Indicative team-sprints (at 30 SP per sprint)</t>
        </is>
      </c>
      <c r="B26" s="9">
        <f>ROUNDUP(SUM('Implementation Backlog'!G5:G16)/30,0)</f>
        <v/>
      </c>
    </row>
    <row r="27" ht="15" customHeight="1">
      <c r="A27" s="8" t="inlineStr">
        <is>
          <t>Must-have requirements</t>
        </is>
      </c>
      <c r="B27" s="9">
        <f>COUNTIF('High-Level Requirements'!D5:D9,"Must")</f>
        <v/>
      </c>
    </row>
    <row r="28" ht="27" customHeight="1">
      <c r="A28" s="8" t="inlineStr">
        <is>
          <t>Backlog items awaiting review decision</t>
        </is>
      </c>
      <c r="B28" s="9">
        <f>COUNTBLANK('Implementation Backlog'!N5:N16)</f>
        <v/>
      </c>
    </row>
    <row r="30">
      <c r="A30" s="7" t="inlineStr">
        <is>
          <t>Notes &amp; assumptions</t>
        </is>
      </c>
    </row>
    <row r="31" ht="30" customHeight="1">
      <c r="A31" s="10" t="inlineStr">
        <is>
          <t>How to review: yellow cells are for the reviewers named on the overview (C-suite sponsor, CIO, CMO / Nursing Head, Cyber GRC, DPO). Use the 'Decision' and 'Review comment' columns on each sheet; the dropdowns offer Accept / Modify / Reject / Defer.</t>
        </is>
      </c>
    </row>
    <row r="32" ht="30" customHeight="1">
      <c r="A32" s="10" t="inlineStr">
        <is>
          <t>Story points are indicative relative-size estimates (Fibonacci-like scale) produced during strategy drafting; they must be re-estimated by the delivery teams. Team-sprints in the catalogue workbook use an indicative velocity of 30 points per team per two-week sprint.</t>
        </is>
      </c>
    </row>
    <row r="33" ht="30" customHeight="1">
      <c r="A33" s="10" t="inlineStr">
        <is>
          <t>Horizons: H1 = Go-live readiness and close the gaps (months 0–6), H2 = Scale, intelligence and experience (months 6–18), H3 = Ecosystem and industry leadership (months 18–36). Priority on backlog items is P1 (critical) / P2 / P3.</t>
        </is>
      </c>
    </row>
    <row r="34" ht="30" customHeight="1">
      <c r="A34" s="10" t="inlineStr">
        <is>
          <t>Nothing in this workbook exists in the product today unless the 'Evidence base' row says so; benefits and KPI targets are indicative and must be baselined by their business owners.</t>
        </is>
      </c>
    </row>
    <row r="35" ht="30" customHeight="1">
      <c r="A35" s="10" t="inlineStr">
        <is>
          <t>Confidentiality rule used throughout: managers, HR, crew scheduling, vendors and analytics audiences see status or suppressed aggregates only – never diagnosis or clinical detail; all data stays in the client's jurisdiction.</t>
        </is>
      </c>
    </row>
  </sheetData>
  <mergeCells count="15">
    <mergeCell ref="B13:C13"/>
    <mergeCell ref="A1:D1"/>
    <mergeCell ref="A33:C33"/>
    <mergeCell ref="B15:C15"/>
    <mergeCell ref="B7:C7"/>
    <mergeCell ref="B11:C11"/>
    <mergeCell ref="A32:C32"/>
    <mergeCell ref="A31:C31"/>
    <mergeCell ref="B10:C10"/>
    <mergeCell ref="B14:C14"/>
    <mergeCell ref="A35:C35"/>
    <mergeCell ref="A34:C34"/>
    <mergeCell ref="B9:C9"/>
    <mergeCell ref="B8:C8"/>
    <mergeCell ref="B12:C1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70" customWidth="1" min="2" max="2"/>
    <col width="45" customWidth="1" min="3" max="3"/>
    <col width="12" customWidth="1" min="4" max="4"/>
    <col width="28" customWidth="1" min="5" max="5"/>
    <col width="34" customWidth="1" min="6" max="6"/>
    <col width="36" customWidth="1" min="7" max="7"/>
    <col width="12" customWidth="1" min="8" max="8"/>
  </cols>
  <sheetData>
    <row r="1" ht="17.35" customHeight="1">
      <c r="A1" s="1" t="inlineStr">
        <is>
          <t>E28 – High-Level Requirements</t>
        </is>
      </c>
    </row>
    <row r="2" ht="15" customHeight="1">
      <c r="A2" s="2" t="inlineStr">
        <is>
          <t>What the solution must achieve for this epic (MoSCoW prioritised, traced to standards and to the evidence of increments 1–5)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4" ht="31.5" customHeight="1">
      <c r="A4" s="11" t="inlineStr">
        <is>
          <t>HLR ID</t>
        </is>
      </c>
      <c r="B4" s="11" t="inlineStr">
        <is>
          <t>Requirement</t>
        </is>
      </c>
      <c r="C4" s="11" t="inlineStr">
        <is>
          <t>Rationale</t>
        </is>
      </c>
      <c r="D4" s="11" t="inlineStr">
        <is>
          <t>Priority (MoSCoW)</t>
        </is>
      </c>
      <c r="E4" s="11" t="inlineStr">
        <is>
          <t>Standards / sources</t>
        </is>
      </c>
      <c r="F4" s="11" t="inlineStr">
        <is>
          <t>Applicable units</t>
        </is>
      </c>
      <c r="G4" s="11" t="inlineStr">
        <is>
          <t>Review comment (sponsor / CMO / GRC)</t>
        </is>
      </c>
      <c r="H4" s="11" t="inlineStr">
        <is>
          <t>Decision</t>
        </is>
      </c>
    </row>
    <row r="5" ht="40.8" customHeight="1">
      <c r="A5" s="12" t="inlineStr">
        <is>
          <t>E28-HLR-01</t>
        </is>
      </c>
      <c r="B5" s="13" t="inlineStr">
        <is>
          <t>The assistant shall only run with the employee's explicit consent for the encounter, and the clinician shall review, edit and sign every draft; nothing is filed without sign-off.</t>
        </is>
      </c>
      <c r="C5" s="13" t="inlineStr">
        <is>
          <t>Client E03-HLR-07; clinical accountability.</t>
        </is>
      </c>
      <c r="D5" s="12" t="inlineStr">
        <is>
          <t>Must</t>
        </is>
      </c>
      <c r="E5" s="13" t="inlineStr">
        <is>
          <t>LOCAL-PDP; DCB0129</t>
        </is>
      </c>
      <c r="F5" s="13" t="inlineStr">
        <is>
          <t>ALL – All subsidiaries &amp; departments (group-wide)</t>
        </is>
      </c>
      <c r="G5" s="14" t="n"/>
      <c r="H5" s="15" t="n"/>
    </row>
    <row r="6" ht="35.05" customHeight="1">
      <c r="A6" s="12" t="inlineStr">
        <is>
          <t>E28-HLR-02</t>
        </is>
      </c>
      <c r="B6" s="13" t="inlineStr">
        <is>
          <t>Audio, transcripts and drafts shall be processed in-country by a provider under a DPA, with no retention or training on the data beyond the agreed purpose.</t>
        </is>
      </c>
      <c r="C6" s="13" t="inlineStr">
        <is>
          <t>Special-category data; residency; no PHI to external models without DPA.</t>
        </is>
      </c>
      <c r="D6" s="12" t="inlineStr">
        <is>
          <t>Must</t>
        </is>
      </c>
      <c r="E6" s="13" t="inlineStr">
        <is>
          <t>LOCAL-PDP; ISO27001</t>
        </is>
      </c>
      <c r="F6" s="13" t="inlineStr">
        <is>
          <t>ALL – All subsidiaries &amp; departments (group-wide)</t>
        </is>
      </c>
      <c r="G6" s="14" t="n"/>
      <c r="H6" s="15" t="n"/>
    </row>
    <row r="7" ht="35.05" customHeight="1">
      <c r="A7" s="12" t="inlineStr">
        <is>
          <t>E28-HLR-03</t>
        </is>
      </c>
      <c r="B7" s="13" t="inlineStr">
        <is>
          <t>Every assistant-assisted note shall be flagged and audited (consent, provider, model version, edits), visible to the clinician and the DPO.</t>
        </is>
      </c>
      <c r="C7" s="13" t="inlineStr">
        <is>
          <t>Transparency and traceability.</t>
        </is>
      </c>
      <c r="D7" s="12" t="inlineStr">
        <is>
          <t>Must</t>
        </is>
      </c>
      <c r="E7" s="13" t="inlineStr">
        <is>
          <t>EU-AI-ACT; ISO42001</t>
        </is>
      </c>
      <c r="F7" s="13" t="inlineStr">
        <is>
          <t>ALL – All subsidiaries &amp; departments (group-wide)</t>
        </is>
      </c>
      <c r="G7" s="14" t="n"/>
      <c r="H7" s="15" t="n"/>
    </row>
    <row r="8" ht="35.05" customHeight="1">
      <c r="A8" s="12" t="inlineStr">
        <is>
          <t>E28-HLR-04</t>
        </is>
      </c>
      <c r="B8" s="13" t="inlineStr">
        <is>
          <t>Draft quality shall be evaluated before roll-out and monitored in use for accuracy, omissions and unsupported statements, with a clinical safety case.</t>
        </is>
      </c>
      <c r="C8" s="13" t="inlineStr">
        <is>
          <t>Draft errors are a clinical hazard.</t>
        </is>
      </c>
      <c r="D8" s="12" t="inlineStr">
        <is>
          <t>Must</t>
        </is>
      </c>
      <c r="E8" s="13" t="inlineStr">
        <is>
          <t>DCB0129; ISO23894</t>
        </is>
      </c>
      <c r="F8" s="13" t="inlineStr">
        <is>
          <t>ALL – All subsidiaries &amp; departments (group-wide)</t>
        </is>
      </c>
      <c r="G8" s="14" t="n"/>
      <c r="H8" s="15" t="n"/>
    </row>
    <row r="9" ht="35.05" customHeight="1">
      <c r="A9" s="12" t="inlineStr">
        <is>
          <t>E28-HLR-05</t>
        </is>
      </c>
      <c r="B9" s="13" t="inlineStr">
        <is>
          <t>The assistant shall support Arabic and English consultations and produce drafts in the clinician's documentation language.</t>
        </is>
      </c>
      <c r="C9" s="13" t="inlineStr">
        <is>
          <t>Bilingual consultations are common.</t>
        </is>
      </c>
      <c r="D9" s="12" t="inlineStr">
        <is>
          <t>Should</t>
        </is>
      </c>
      <c r="E9" s="13" t="inlineStr">
        <is>
          <t>WCAG22</t>
        </is>
      </c>
      <c r="F9" s="13" t="inlineStr">
        <is>
          <t>ALL – All subsidiaries &amp; departments (group-wide)</t>
        </is>
      </c>
      <c r="G9" s="14" t="n"/>
      <c r="H9" s="15" t="n"/>
    </row>
  </sheetData>
  <autoFilter ref="A4:H9"/>
  <mergeCells count="3">
    <mergeCell ref="A3:H3"/>
    <mergeCell ref="A2:H2"/>
    <mergeCell ref="A1:H1"/>
  </mergeCells>
  <conditionalFormatting sqref="D5:D9">
    <cfRule type="cellIs" priority="1" operator="equal" dxfId="0">
      <formula>"Must"</formula>
    </cfRule>
    <cfRule type="cellIs" priority="2" operator="equal" dxfId="1">
      <formula>"Should"</formula>
    </cfRule>
    <cfRule type="cellIs" priority="3" operator="equal" dxfId="2">
      <formula>"Could"</formula>
    </cfRule>
  </conditionalFormatting>
  <dataValidations count="1">
    <dataValidation sqref="H5:H9" showDropDown="0" showInputMessage="0" showErrorMessage="0" allowBlank="1" type="list">
      <formula1>"Accept,Modify,Reject,Defer"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60" customWidth="1" min="3" max="3"/>
    <col width="24" customWidth="1" min="4" max="4"/>
    <col width="12" customWidth="1" min="5" max="5"/>
    <col width="18" customWidth="1" min="6" max="6"/>
    <col width="48" customWidth="1" min="7" max="7"/>
    <col width="36" customWidth="1" min="8" max="8"/>
    <col width="30" customWidth="1" min="9" max="9"/>
    <col width="12" customWidth="1" min="10" max="10"/>
  </cols>
  <sheetData>
    <row r="1" ht="17.35" customHeight="1">
      <c r="A1" s="1" t="inlineStr">
        <is>
          <t>E28 – Low-Level Feature List</t>
        </is>
      </c>
    </row>
    <row r="2" ht="15" customHeight="1">
      <c r="A2" s="2" t="inlineStr">
        <is>
          <t>Features that implement the high-level requirements, with roles, acceptance criteria and unit-specific notes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4" ht="31.5" customHeight="1">
      <c r="A4" s="11" t="inlineStr">
        <is>
          <t>Feature ID</t>
        </is>
      </c>
      <c r="B4" s="11" t="inlineStr">
        <is>
          <t>Feature</t>
        </is>
      </c>
      <c r="C4" s="11" t="inlineStr">
        <is>
          <t>Description</t>
        </is>
      </c>
      <c r="D4" s="11" t="inlineStr">
        <is>
          <t>Primary roles</t>
        </is>
      </c>
      <c r="E4" s="11" t="inlineStr">
        <is>
          <t>Priority (MoSCoW)</t>
        </is>
      </c>
      <c r="F4" s="11" t="inlineStr">
        <is>
          <t>Traces to HLR</t>
        </is>
      </c>
      <c r="G4" s="11" t="inlineStr">
        <is>
          <t>Acceptance criteria (summary)</t>
        </is>
      </c>
      <c r="H4" s="11" t="inlineStr">
        <is>
          <t>Unit-specific notes</t>
        </is>
      </c>
      <c r="I4" s="11" t="inlineStr">
        <is>
          <t>Review comment</t>
        </is>
      </c>
      <c r="J4" s="11" t="inlineStr">
        <is>
          <t>Decision</t>
        </is>
      </c>
    </row>
    <row r="5" ht="35.05" customHeight="1">
      <c r="A5" s="12" t="inlineStr">
        <is>
          <t>E28-F01</t>
        </is>
      </c>
      <c r="B5" s="13" t="inlineStr">
        <is>
          <t>Evaluation, DPIA and provider selection</t>
        </is>
      </c>
      <c r="C5" s="13" t="inlineStr">
        <is>
          <t>Evaluation of locally hosted vs contracted in-country options against privacy, accuracy, latency, cost; DPIA.</t>
        </is>
      </c>
      <c r="D5" s="13" t="inlineStr">
        <is>
          <t>CMO; DPO; Cyber GRC</t>
        </is>
      </c>
      <c r="E5" s="12" t="inlineStr">
        <is>
          <t>Must</t>
        </is>
      </c>
      <c r="F5" s="13" t="inlineStr">
        <is>
          <t>E28-HLR-02</t>
        </is>
      </c>
      <c r="G5" s="13" t="inlineStr">
        <is>
          <t>Decision record; DPIA approved; DPA signed if contracted.</t>
        </is>
      </c>
      <c r="H5" s="13" t="inlineStr">
        <is>
          <t>Decision D13.</t>
        </is>
      </c>
      <c r="I5" s="14" t="n"/>
      <c r="J5" s="15" t="n"/>
    </row>
    <row r="6" ht="35.05" customHeight="1">
      <c r="A6" s="12" t="inlineStr">
        <is>
          <t>E28-F02</t>
        </is>
      </c>
      <c r="B6" s="13" t="inlineStr">
        <is>
          <t>Capture front end</t>
        </is>
      </c>
      <c r="C6" s="13" t="inlineStr">
        <is>
          <t>Dictation and consented ambient capture in the OH workspace and tablet, consent prompt, indicator while capturing.</t>
        </is>
      </c>
      <c r="D6" s="13" t="inlineStr">
        <is>
          <t>OH physician; OH nurse</t>
        </is>
      </c>
      <c r="E6" s="12" t="inlineStr">
        <is>
          <t>Must</t>
        </is>
      </c>
      <c r="F6" s="13" t="inlineStr">
        <is>
          <t>E28-HLR-01</t>
        </is>
      </c>
      <c r="G6" s="13" t="inlineStr">
        <is>
          <t>Capture only after consent; visible indicator; audio discarded after transcription per policy.</t>
        </is>
      </c>
      <c r="H6" s="13" t="inlineStr">
        <is>
          <t>Not available in restricted classes.</t>
        </is>
      </c>
      <c r="I6" s="14" t="n"/>
      <c r="J6" s="15" t="n"/>
    </row>
    <row r="7" ht="35.05" customHeight="1">
      <c r="A7" s="12" t="inlineStr">
        <is>
          <t>E28-F03</t>
        </is>
      </c>
      <c r="B7" s="13" t="inlineStr">
        <is>
          <t>Draft generation and sign-off</t>
        </is>
      </c>
      <c r="C7" s="13" t="inlineStr">
        <is>
          <t>Provider behind AiDocumentationProvider; draft structured note, summary, handover, referral letter; side-by-side review; sign-off.</t>
        </is>
      </c>
      <c r="D7" s="13" t="inlineStr">
        <is>
          <t>OH physician; OH nurse</t>
        </is>
      </c>
      <c r="E7" s="12" t="inlineStr">
        <is>
          <t>Must</t>
        </is>
      </c>
      <c r="F7" s="13" t="inlineStr">
        <is>
          <t>E28-HLR-01</t>
        </is>
      </c>
      <c r="G7" s="13" t="inlineStr">
        <is>
          <t>Draft within 60 s; edits tracked; unsigned drafts never filed.</t>
        </is>
      </c>
      <c r="H7" s="13" t="inlineStr">
        <is>
          <t>Existing SPI and audit reused.</t>
        </is>
      </c>
      <c r="I7" s="14" t="n"/>
      <c r="J7" s="15" t="n"/>
    </row>
    <row r="8" ht="35.05" customHeight="1">
      <c r="A8" s="12" t="inlineStr">
        <is>
          <t>E28-F04</t>
        </is>
      </c>
      <c r="B8" s="13" t="inlineStr">
        <is>
          <t>Assistant transparency and audit</t>
        </is>
      </c>
      <c r="C8" s="13" t="inlineStr">
        <is>
          <t>Flag on notes, audit entries with provider and version, DPO report.</t>
        </is>
      </c>
      <c r="D8" s="13" t="inlineStr">
        <is>
          <t>DPO; Clinicians</t>
        </is>
      </c>
      <c r="E8" s="12" t="inlineStr">
        <is>
          <t>Must</t>
        </is>
      </c>
      <c r="F8" s="13" t="inlineStr">
        <is>
          <t>E28-HLR-03</t>
        </is>
      </c>
      <c r="G8" s="13" t="inlineStr">
        <is>
          <t>100 % of assisted notes flagged; monthly DPO report.</t>
        </is>
      </c>
      <c r="H8" s="13" t="inlineStr">
        <is>
          <t>None</t>
        </is>
      </c>
      <c r="I8" s="14" t="n"/>
      <c r="J8" s="15" t="n"/>
    </row>
    <row r="9" ht="35.05" customHeight="1">
      <c r="A9" s="12" t="inlineStr">
        <is>
          <t>E28-F05</t>
        </is>
      </c>
      <c r="B9" s="13" t="inlineStr">
        <is>
          <t>Quality evaluation and monitoring</t>
        </is>
      </c>
      <c r="C9" s="13" t="inlineStr">
        <is>
          <t>Evaluation set, clinician rating, error taxonomy, monitoring dashboard, safety case.</t>
        </is>
      </c>
      <c r="D9" s="13" t="inlineStr">
        <is>
          <t>Clinical safety officer; CMO</t>
        </is>
      </c>
      <c r="E9" s="12" t="inlineStr">
        <is>
          <t>Must</t>
        </is>
      </c>
      <c r="F9" s="13" t="inlineStr">
        <is>
          <t>E28-HLR-04</t>
        </is>
      </c>
      <c r="G9" s="13" t="inlineStr">
        <is>
          <t>Pilot report meets thresholds; monitoring live.</t>
        </is>
      </c>
      <c r="H9" s="13" t="inlineStr">
        <is>
          <t>Shared AI governance board with E27.</t>
        </is>
      </c>
      <c r="I9" s="14" t="n"/>
      <c r="J9" s="15" t="n"/>
    </row>
  </sheetData>
  <autoFilter ref="A4:J9"/>
  <mergeCells count="3">
    <mergeCell ref="A1:J1"/>
    <mergeCell ref="A3:J3"/>
    <mergeCell ref="A2:J2"/>
  </mergeCells>
  <conditionalFormatting sqref="E5:E9">
    <cfRule type="cellIs" priority="1" operator="equal" dxfId="0">
      <formula>"Must"</formula>
    </cfRule>
    <cfRule type="cellIs" priority="2" operator="equal" dxfId="1">
      <formula>"Should"</formula>
    </cfRule>
    <cfRule type="cellIs" priority="3" operator="equal" dxfId="2">
      <formula>"Could"</formula>
    </cfRule>
  </conditionalFormatting>
  <dataValidations count="1">
    <dataValidation sqref="J5:J9" showDropDown="0" showInputMessage="0" showErrorMessage="0" allowBlank="1" type="list">
      <formula1>"Accept,Modify,Reject,Defer"</formula1>
    </dataValidation>
  </dataValidation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26" customWidth="1" min="3" max="3"/>
    <col width="9" customWidth="1" min="4" max="4"/>
    <col width="60" customWidth="1" min="5" max="5"/>
    <col width="55" customWidth="1" min="6" max="6"/>
    <col width="10" customWidth="1" min="7" max="7"/>
    <col width="9" customWidth="1" min="8" max="8"/>
    <col width="9" customWidth="1" min="9" max="9"/>
    <col width="24" customWidth="1" min="10" max="10"/>
    <col width="14" customWidth="1" min="11" max="11"/>
    <col width="10" customWidth="1" min="12" max="12"/>
    <col width="13" customWidth="1" min="13" max="13"/>
    <col width="11" customWidth="1" min="14" max="14"/>
    <col width="30" customWidth="1" min="15" max="15"/>
  </cols>
  <sheetData>
    <row r="1" ht="17.35" customHeight="1">
      <c r="A1" s="1" t="inlineStr">
        <is>
          <t>E28 – Implementation Backlog (line by line)</t>
        </is>
      </c>
    </row>
    <row r="2" ht="15" customHeight="1">
      <c r="A2" s="2" t="inlineStr">
        <is>
          <t>User stories, enablers, tasks and spikes with acceptance criteria, indicative estimates, horizon, priority, owner and dependencies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4" ht="31.5" customHeight="1">
      <c r="A4" s="11" t="inlineStr">
        <is>
          <t>Backlog ID</t>
        </is>
      </c>
      <c r="B4" s="11" t="inlineStr">
        <is>
          <t>Feature ID</t>
        </is>
      </c>
      <c r="C4" s="11" t="inlineStr">
        <is>
          <t>Feature (lookup)</t>
        </is>
      </c>
      <c r="D4" s="11" t="inlineStr">
        <is>
          <t>Type</t>
        </is>
      </c>
      <c r="E4" s="11" t="inlineStr">
        <is>
          <t>Title / user story</t>
        </is>
      </c>
      <c r="F4" s="11" t="inlineStr">
        <is>
          <t>Acceptance criteria / definition of done</t>
        </is>
      </c>
      <c r="G4" s="11" t="inlineStr">
        <is>
          <t>Story points (indicative)</t>
        </is>
      </c>
      <c r="H4" s="11" t="inlineStr">
        <is>
          <t>Horizon</t>
        </is>
      </c>
      <c r="I4" s="11" t="inlineStr">
        <is>
          <t>Priority</t>
        </is>
      </c>
      <c r="J4" s="11" t="inlineStr">
        <is>
          <t>Owner / team</t>
        </is>
      </c>
      <c r="K4" s="11" t="inlineStr">
        <is>
          <t>Dependencies (epics)</t>
        </is>
      </c>
      <c r="L4" s="11" t="inlineStr">
        <is>
          <t>Sprint (to assign)</t>
        </is>
      </c>
      <c r="M4" s="11" t="inlineStr">
        <is>
          <t>Status</t>
        </is>
      </c>
      <c r="N4" s="11" t="inlineStr">
        <is>
          <t>Decision</t>
        </is>
      </c>
      <c r="O4" s="11" t="inlineStr">
        <is>
          <t>Review comment</t>
        </is>
      </c>
    </row>
    <row r="5" ht="28.2" customHeight="1">
      <c r="A5" s="12" t="inlineStr">
        <is>
          <t>E28-BL-001</t>
        </is>
      </c>
      <c r="B5" s="12" t="inlineStr">
        <is>
          <t>E28-F01</t>
        </is>
      </c>
      <c r="C5" s="13">
        <f>IFERROR(INDEX('Feature List'!$B$5:$B$9,MATCH(B5,'Feature List'!$A$5:$A$9,0)),"")</f>
        <v/>
      </c>
      <c r="D5" s="12" t="inlineStr">
        <is>
          <t>Spike</t>
        </is>
      </c>
      <c r="E5" s="13" t="inlineStr">
        <is>
          <t>Evaluate locally hosted vs contracted in-country assistant options against privacy, accuracy, latency, Arabic support and cost (D13)</t>
        </is>
      </c>
      <c r="F5" s="13" t="inlineStr">
        <is>
          <t>Evaluation report and recommendation</t>
        </is>
      </c>
      <c r="G5" s="12" t="n">
        <v>5</v>
      </c>
      <c r="H5" s="12" t="inlineStr">
        <is>
          <t>H1</t>
        </is>
      </c>
      <c r="I5" s="12" t="inlineStr">
        <is>
          <t>P1</t>
        </is>
      </c>
      <c r="J5" s="13" t="inlineStr">
        <is>
          <t>Product Owner; Security &amp; Privacy</t>
        </is>
      </c>
      <c r="K5" s="13" t="inlineStr">
        <is>
          <t>E19</t>
        </is>
      </c>
      <c r="L5" s="16" t="n"/>
      <c r="M5" s="12" t="inlineStr">
        <is>
          <t>Not started</t>
        </is>
      </c>
      <c r="N5" s="15" t="n"/>
      <c r="O5" s="14" t="n"/>
    </row>
    <row r="6" ht="28.2" customHeight="1">
      <c r="A6" s="12" t="inlineStr">
        <is>
          <t>E28-BL-002</t>
        </is>
      </c>
      <c r="B6" s="12" t="inlineStr">
        <is>
          <t>E28-F01</t>
        </is>
      </c>
      <c r="C6" s="13">
        <f>IFERROR(INDEX('Feature List'!$B$5:$B$9,MATCH(B6,'Feature List'!$A$5:$A$9,0)),"")</f>
        <v/>
      </c>
      <c r="D6" s="12" t="inlineStr">
        <is>
          <t>Task</t>
        </is>
      </c>
      <c r="E6" s="13" t="inlineStr">
        <is>
          <t>DPIA and clinical safety case for the documentation assistant</t>
        </is>
      </c>
      <c r="F6" s="13" t="inlineStr">
        <is>
          <t>DPIA approved by DPO; hazard log approved by clinical safety officer</t>
        </is>
      </c>
      <c r="G6" s="12" t="n">
        <v>5</v>
      </c>
      <c r="H6" s="12" t="inlineStr">
        <is>
          <t>H1</t>
        </is>
      </c>
      <c r="I6" s="12" t="inlineStr">
        <is>
          <t>P1</t>
        </is>
      </c>
      <c r="J6" s="13" t="inlineStr">
        <is>
          <t>DPO; Clinical safety officer</t>
        </is>
      </c>
      <c r="K6" s="13" t="inlineStr">
        <is>
          <t>–</t>
        </is>
      </c>
      <c r="L6" s="16" t="n"/>
      <c r="M6" s="12" t="inlineStr">
        <is>
          <t>Not started</t>
        </is>
      </c>
      <c r="N6" s="15" t="n"/>
      <c r="O6" s="14" t="n"/>
    </row>
    <row r="7" ht="28.2" customHeight="1">
      <c r="A7" s="12" t="inlineStr">
        <is>
          <t>E28-BL-003</t>
        </is>
      </c>
      <c r="B7" s="12" t="inlineStr">
        <is>
          <t>E28-F01</t>
        </is>
      </c>
      <c r="C7" s="13">
        <f>IFERROR(INDEX('Feature List'!$B$5:$B$9,MATCH(B7,'Feature List'!$A$5:$A$9,0)),"")</f>
        <v/>
      </c>
      <c r="D7" s="12" t="inlineStr">
        <is>
          <t>Task</t>
        </is>
      </c>
      <c r="E7" s="13" t="inlineStr">
        <is>
          <t>Contract and DPA with the selected provider, including in-country processing, no retention and no training on WellnessZ data</t>
        </is>
      </c>
      <c r="F7" s="13" t="inlineStr">
        <is>
          <t>Signed DPA; security due diligence complete</t>
        </is>
      </c>
      <c r="G7" s="12" t="n">
        <v>2</v>
      </c>
      <c r="H7" s="12" t="inlineStr">
        <is>
          <t>H2</t>
        </is>
      </c>
      <c r="I7" s="12" t="inlineStr">
        <is>
          <t>P1</t>
        </is>
      </c>
      <c r="J7" s="13" t="inlineStr">
        <is>
          <t>Procurement; Legal</t>
        </is>
      </c>
      <c r="K7" s="13" t="inlineStr">
        <is>
          <t>E19</t>
        </is>
      </c>
      <c r="L7" s="16" t="n"/>
      <c r="M7" s="12" t="inlineStr">
        <is>
          <t>Not started</t>
        </is>
      </c>
      <c r="N7" s="15" t="n"/>
      <c r="O7" s="14" t="n"/>
    </row>
    <row r="8" ht="28.2" customHeight="1">
      <c r="A8" s="12" t="inlineStr">
        <is>
          <t>E28-BL-004</t>
        </is>
      </c>
      <c r="B8" s="12" t="inlineStr">
        <is>
          <t>E28-F02</t>
        </is>
      </c>
      <c r="C8" s="13">
        <f>IFERROR(INDEX('Feature List'!$B$5:$B$9,MATCH(B8,'Feature List'!$A$5:$A$9,0)),"")</f>
        <v/>
      </c>
      <c r="D8" s="12" t="inlineStr">
        <is>
          <t>Story</t>
        </is>
      </c>
      <c r="E8" s="13" t="inlineStr">
        <is>
          <t>As an OH physician I want to dictate or, with consent, capture the consultation so that I can focus on the employee</t>
        </is>
      </c>
      <c r="F8" s="13" t="inlineStr">
        <is>
          <t>Consent prompt; capture indicator; audio policy enforced</t>
        </is>
      </c>
      <c r="G8" s="12" t="n">
        <v>8</v>
      </c>
      <c r="H8" s="12" t="inlineStr">
        <is>
          <t>H2</t>
        </is>
      </c>
      <c r="I8" s="12" t="inlineStr">
        <is>
          <t>P1</t>
        </is>
      </c>
      <c r="J8" s="13" t="inlineStr">
        <is>
          <t>Frontend / UX</t>
        </is>
      </c>
      <c r="K8" s="13" t="inlineStr">
        <is>
          <t>E03</t>
        </is>
      </c>
      <c r="L8" s="16" t="n"/>
      <c r="M8" s="12" t="inlineStr">
        <is>
          <t>Not started</t>
        </is>
      </c>
      <c r="N8" s="15" t="n"/>
      <c r="O8" s="14" t="n"/>
    </row>
    <row r="9" ht="28.2" customHeight="1">
      <c r="A9" s="12" t="inlineStr">
        <is>
          <t>E28-BL-005</t>
        </is>
      </c>
      <c r="B9" s="12" t="inlineStr">
        <is>
          <t>E28-F03</t>
        </is>
      </c>
      <c r="C9" s="13">
        <f>IFERROR(INDEX('Feature List'!$B$5:$B$9,MATCH(B9,'Feature List'!$A$5:$A$9,0)),"")</f>
        <v/>
      </c>
      <c r="D9" s="12" t="inlineStr">
        <is>
          <t>Enabler</t>
        </is>
      </c>
      <c r="E9" s="13" t="inlineStr">
        <is>
          <t>Provider adapter implementing AiDocumentationProvider with timeouts, retries and no PHI in logs</t>
        </is>
      </c>
      <c r="F9" s="13" t="inlineStr">
        <is>
          <t>Adapter selected by configuration; draft within 60 s at p95</t>
        </is>
      </c>
      <c r="G9" s="12" t="n">
        <v>8</v>
      </c>
      <c r="H9" s="12" t="inlineStr">
        <is>
          <t>H2</t>
        </is>
      </c>
      <c r="I9" s="12" t="inlineStr">
        <is>
          <t>P1</t>
        </is>
      </c>
      <c r="J9" s="13" t="inlineStr">
        <is>
          <t>Platform / Backend</t>
        </is>
      </c>
      <c r="K9" s="13" t="inlineStr">
        <is>
          <t>E03</t>
        </is>
      </c>
      <c r="L9" s="16" t="n"/>
      <c r="M9" s="12" t="inlineStr">
        <is>
          <t>Not started</t>
        </is>
      </c>
      <c r="N9" s="15" t="n"/>
      <c r="O9" s="14" t="n"/>
    </row>
    <row r="10" ht="28.2" customHeight="1">
      <c r="A10" s="12" t="inlineStr">
        <is>
          <t>E28-BL-006</t>
        </is>
      </c>
      <c r="B10" s="12" t="inlineStr">
        <is>
          <t>E28-F03</t>
        </is>
      </c>
      <c r="C10" s="13">
        <f>IFERROR(INDEX('Feature List'!$B$5:$B$9,MATCH(B10,'Feature List'!$A$5:$A$9,0)),"")</f>
        <v/>
      </c>
      <c r="D10" s="12" t="inlineStr">
        <is>
          <t>Story</t>
        </is>
      </c>
      <c r="E10" s="13" t="inlineStr">
        <is>
          <t>As a clinician I want a side-by-side review of the draft structured note before I sign so that I stay accountable for every word</t>
        </is>
      </c>
      <c r="F10" s="13" t="inlineStr">
        <is>
          <t>Diff of edits; sign-off required; unsigned drafts expire</t>
        </is>
      </c>
      <c r="G10" s="12" t="n">
        <v>8</v>
      </c>
      <c r="H10" s="12" t="inlineStr">
        <is>
          <t>H2</t>
        </is>
      </c>
      <c r="I10" s="12" t="inlineStr">
        <is>
          <t>P1</t>
        </is>
      </c>
      <c r="J10" s="13" t="inlineStr">
        <is>
          <t>Frontend / UX</t>
        </is>
      </c>
      <c r="K10" s="13" t="inlineStr">
        <is>
          <t>E03</t>
        </is>
      </c>
      <c r="L10" s="16" t="n"/>
      <c r="M10" s="12" t="inlineStr">
        <is>
          <t>Not started</t>
        </is>
      </c>
      <c r="N10" s="15" t="n"/>
      <c r="O10" s="14" t="n"/>
    </row>
    <row r="11" ht="28.2" customHeight="1">
      <c r="A11" s="12" t="inlineStr">
        <is>
          <t>E28-BL-007</t>
        </is>
      </c>
      <c r="B11" s="12" t="inlineStr">
        <is>
          <t>E28-F03</t>
        </is>
      </c>
      <c r="C11" s="13">
        <f>IFERROR(INDEX('Feature List'!$B$5:$B$9,MATCH(B11,'Feature List'!$A$5:$A$9,0)),"")</f>
        <v/>
      </c>
      <c r="D11" s="12" t="inlineStr">
        <is>
          <t>Story</t>
        </is>
      </c>
      <c r="E11" s="13" t="inlineStr">
        <is>
          <t>As a case manager I want a case summary and handover draft so that cover clinicians get context quickly</t>
        </is>
      </c>
      <c r="F11" s="13" t="inlineStr">
        <is>
          <t>Summary drafts from signed notes only; clinician review</t>
        </is>
      </c>
      <c r="G11" s="12" t="n">
        <v>5</v>
      </c>
      <c r="H11" s="12" t="inlineStr">
        <is>
          <t>H2</t>
        </is>
      </c>
      <c r="I11" s="12" t="inlineStr">
        <is>
          <t>P2</t>
        </is>
      </c>
      <c r="J11" s="13" t="inlineStr">
        <is>
          <t>Platform / Backend; Frontend / UX</t>
        </is>
      </c>
      <c r="K11" s="13" t="inlineStr">
        <is>
          <t>–</t>
        </is>
      </c>
      <c r="L11" s="16" t="n"/>
      <c r="M11" s="12" t="inlineStr">
        <is>
          <t>Not started</t>
        </is>
      </c>
      <c r="N11" s="15" t="n"/>
      <c r="O11" s="14" t="n"/>
    </row>
    <row r="12" ht="28.2" customHeight="1">
      <c r="A12" s="12" t="inlineStr">
        <is>
          <t>E28-BL-008</t>
        </is>
      </c>
      <c r="B12" s="12" t="inlineStr">
        <is>
          <t>E28-F04</t>
        </is>
      </c>
      <c r="C12" s="13">
        <f>IFERROR(INDEX('Feature List'!$B$5:$B$9,MATCH(B12,'Feature List'!$A$5:$A$9,0)),"")</f>
        <v/>
      </c>
      <c r="D12" s="12" t="inlineStr">
        <is>
          <t>Story</t>
        </is>
      </c>
      <c r="E12" s="13" t="inlineStr">
        <is>
          <t>As the DPO I want a monthly report of assistant use, consent and flags so that I can evidence lawful use</t>
        </is>
      </c>
      <c r="F12" s="13" t="inlineStr">
        <is>
          <t>Report by unit; suppression where needed</t>
        </is>
      </c>
      <c r="G12" s="12" t="n">
        <v>3</v>
      </c>
      <c r="H12" s="12" t="inlineStr">
        <is>
          <t>H2</t>
        </is>
      </c>
      <c r="I12" s="12" t="inlineStr">
        <is>
          <t>P2</t>
        </is>
      </c>
      <c r="J12" s="13" t="inlineStr">
        <is>
          <t>Platform / Backend</t>
        </is>
      </c>
      <c r="K12" s="13" t="inlineStr">
        <is>
          <t>E16</t>
        </is>
      </c>
      <c r="L12" s="16" t="n"/>
      <c r="M12" s="12" t="inlineStr">
        <is>
          <t>Not started</t>
        </is>
      </c>
      <c r="N12" s="15" t="n"/>
      <c r="O12" s="14" t="n"/>
    </row>
    <row r="13" ht="28.2" customHeight="1">
      <c r="A13" s="12" t="inlineStr">
        <is>
          <t>E28-BL-009</t>
        </is>
      </c>
      <c r="B13" s="12" t="inlineStr">
        <is>
          <t>E28-F05</t>
        </is>
      </c>
      <c r="C13" s="13">
        <f>IFERROR(INDEX('Feature List'!$B$5:$B$9,MATCH(B13,'Feature List'!$A$5:$A$9,0)),"")</f>
        <v/>
      </c>
      <c r="D13" s="12" t="inlineStr">
        <is>
          <t>Enabler</t>
        </is>
      </c>
      <c r="E13" s="13" t="inlineStr">
        <is>
          <t>Evaluation harness with a de-identified evaluation set and error taxonomy</t>
        </is>
      </c>
      <c r="F13" s="13" t="inlineStr">
        <is>
          <t>Harness repeatable; results per provider version</t>
        </is>
      </c>
      <c r="G13" s="12" t="n">
        <v>5</v>
      </c>
      <c r="H13" s="12" t="inlineStr">
        <is>
          <t>H2</t>
        </is>
      </c>
      <c r="I13" s="12" t="inlineStr">
        <is>
          <t>P1</t>
        </is>
      </c>
      <c r="J13" s="13" t="inlineStr">
        <is>
          <t>Data &amp; Analytics</t>
        </is>
      </c>
      <c r="K13" s="13" t="inlineStr">
        <is>
          <t>E26</t>
        </is>
      </c>
      <c r="L13" s="16" t="n"/>
      <c r="M13" s="12" t="inlineStr">
        <is>
          <t>Not started</t>
        </is>
      </c>
      <c r="N13" s="15" t="n"/>
      <c r="O13" s="14" t="n"/>
    </row>
    <row r="14" ht="28.2" customHeight="1">
      <c r="A14" s="12" t="inlineStr">
        <is>
          <t>E28-BL-010</t>
        </is>
      </c>
      <c r="B14" s="12" t="inlineStr">
        <is>
          <t>E28-F05</t>
        </is>
      </c>
      <c r="C14" s="13">
        <f>IFERROR(INDEX('Feature List'!$B$5:$B$9,MATCH(B14,'Feature List'!$A$5:$A$9,0)),"")</f>
        <v/>
      </c>
      <c r="D14" s="12" t="inlineStr">
        <is>
          <t>Task</t>
        </is>
      </c>
      <c r="E14" s="13" t="inlineStr">
        <is>
          <t>Run the 5-clinician pilot and decide on staged roll-out</t>
        </is>
      </c>
      <c r="F14" s="13" t="inlineStr">
        <is>
          <t>Pilot report: time saved, acceptance, errors; governance decision</t>
        </is>
      </c>
      <c r="G14" s="12" t="n">
        <v>5</v>
      </c>
      <c r="H14" s="12" t="inlineStr">
        <is>
          <t>H2</t>
        </is>
      </c>
      <c r="I14" s="12" t="inlineStr">
        <is>
          <t>P1</t>
        </is>
      </c>
      <c r="J14" s="13" t="inlineStr">
        <is>
          <t>Clinical SME (OH Nurse / Physician); Product Owner</t>
        </is>
      </c>
      <c r="K14" s="13" t="inlineStr">
        <is>
          <t>–</t>
        </is>
      </c>
      <c r="L14" s="16" t="n"/>
      <c r="M14" s="12" t="inlineStr">
        <is>
          <t>Not started</t>
        </is>
      </c>
      <c r="N14" s="15" t="n"/>
      <c r="O14" s="14" t="n"/>
    </row>
    <row r="15" ht="28.2" customHeight="1">
      <c r="A15" s="12" t="inlineStr">
        <is>
          <t>E28-BL-011</t>
        </is>
      </c>
      <c r="B15" s="12" t="inlineStr">
        <is>
          <t>E28-F02</t>
        </is>
      </c>
      <c r="C15" s="13">
        <f>IFERROR(INDEX('Feature List'!$B$5:$B$9,MATCH(B15,'Feature List'!$A$5:$A$9,0)),"")</f>
        <v/>
      </c>
      <c r="D15" s="12" t="inlineStr">
        <is>
          <t>Story</t>
        </is>
      </c>
      <c r="E15" s="13" t="inlineStr">
        <is>
          <t>As a bilingual clinician I want Arabic consultations transcribed and drafted in English so that the record stays consistent</t>
        </is>
      </c>
      <c r="F15" s="13" t="inlineStr">
        <is>
          <t>Arabic audio supported; draft language selectable</t>
        </is>
      </c>
      <c r="G15" s="12" t="n">
        <v>5</v>
      </c>
      <c r="H15" s="12" t="inlineStr">
        <is>
          <t>H2</t>
        </is>
      </c>
      <c r="I15" s="12" t="inlineStr">
        <is>
          <t>P3</t>
        </is>
      </c>
      <c r="J15" s="13" t="inlineStr">
        <is>
          <t>Platform / Backend</t>
        </is>
      </c>
      <c r="K15" s="13" t="inlineStr">
        <is>
          <t>E21</t>
        </is>
      </c>
      <c r="L15" s="16" t="n"/>
      <c r="M15" s="12" t="inlineStr">
        <is>
          <t>Not started</t>
        </is>
      </c>
      <c r="N15" s="15" t="n"/>
      <c r="O15" s="14" t="n"/>
    </row>
    <row r="16" ht="28.2" customHeight="1">
      <c r="A16" s="12" t="inlineStr">
        <is>
          <t>E28-BL-012</t>
        </is>
      </c>
      <c r="B16" s="12" t="inlineStr">
        <is>
          <t>E28-F03</t>
        </is>
      </c>
      <c r="C16" s="13">
        <f>IFERROR(INDEX('Feature List'!$B$5:$B$9,MATCH(B16,'Feature List'!$A$5:$A$9,0)),"")</f>
        <v/>
      </c>
      <c r="D16" s="12" t="inlineStr">
        <is>
          <t>Spike</t>
        </is>
      </c>
      <c r="E16" s="13" t="inlineStr">
        <is>
          <t>Assess on-host OCR for scanned images (D14) as an input to drafts and search</t>
        </is>
      </c>
      <c r="F16" s="13" t="inlineStr">
        <is>
          <t>Volume analysis; recommendation; no cloud OCR without DPA</t>
        </is>
      </c>
      <c r="G16" s="12" t="n">
        <v>2</v>
      </c>
      <c r="H16" s="12" t="inlineStr">
        <is>
          <t>H2</t>
        </is>
      </c>
      <c r="I16" s="12" t="inlineStr">
        <is>
          <t>P3</t>
        </is>
      </c>
      <c r="J16" s="13" t="inlineStr">
        <is>
          <t>Platform / Backend</t>
        </is>
      </c>
      <c r="K16" s="13" t="inlineStr">
        <is>
          <t>–</t>
        </is>
      </c>
      <c r="L16" s="16" t="n"/>
      <c r="M16" s="12" t="inlineStr">
        <is>
          <t>Not started</t>
        </is>
      </c>
      <c r="N16" s="15" t="n"/>
      <c r="O16" s="14" t="n"/>
    </row>
    <row r="18">
      <c r="E18" s="17" t="inlineStr">
        <is>
          <t>Total story points (indicative)</t>
        </is>
      </c>
      <c r="G18" s="18">
        <f>SUM(G5:G16)</f>
        <v/>
      </c>
    </row>
    <row r="19">
      <c r="E19" s="17" t="inlineStr">
        <is>
          <t>Items</t>
        </is>
      </c>
      <c r="G19" s="18">
        <f>COUNTA(A5:A16)</f>
        <v/>
      </c>
    </row>
  </sheetData>
  <autoFilter ref="A4:O16"/>
  <mergeCells count="3">
    <mergeCell ref="A1:O1"/>
    <mergeCell ref="A3:O3"/>
    <mergeCell ref="A2:O2"/>
  </mergeCells>
  <conditionalFormatting sqref="I5:I16">
    <cfRule type="cellIs" priority="1" operator="equal" dxfId="0">
      <formula>"P1"</formula>
    </cfRule>
  </conditionalFormatting>
  <dataValidations count="5">
    <dataValidation sqref="M5:M16" showDropDown="0" showInputMessage="0" showErrorMessage="0" allowBlank="1" type="list">
      <formula1>"Not started,In analysis,Ready,In progress,Done,Deferred"</formula1>
    </dataValidation>
    <dataValidation sqref="N5:N16" showDropDown="0" showInputMessage="0" showErrorMessage="0" allowBlank="1" type="list">
      <formula1>"Accept,Modify,Reject,Defer"</formula1>
    </dataValidation>
    <dataValidation sqref="H5:H16" showDropDown="0" showInputMessage="0" showErrorMessage="0" allowBlank="1" type="list">
      <formula1>"H1,H2,H3"</formula1>
    </dataValidation>
    <dataValidation sqref="I5:I16" showDropDown="0" showInputMessage="0" showErrorMessage="0" allowBlank="1" type="list">
      <formula1>"P1,P2,P3"</formula1>
    </dataValidation>
    <dataValidation sqref="D5:D16" showDropDown="0" showInputMessage="0" showErrorMessage="0" allowBlank="1" type="list">
      <formula1>"Story,Enabler,Task,Spike"</formula1>
    </dataValidation>
  </dataValidation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57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17.35" customHeight="1">
      <c r="A1" s="1" t="inlineStr">
        <is>
          <t>Legends – unit codes, standards, horizons, owners</t>
        </is>
      </c>
    </row>
    <row r="2" ht="15" customHeight="1">
      <c r="A2" s="2" t="inlineStr">
        <is>
          <t>Reference for codes used in this workbook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4" ht="31.5" customHeight="1">
      <c r="A4" s="11" t="inlineStr">
        <is>
          <t>Code</t>
        </is>
      </c>
      <c r="B4" s="11" t="inlineStr">
        <is>
          <t>Meaning</t>
        </is>
      </c>
    </row>
    <row r="5" ht="15.6" customHeight="1">
      <c r="A5" s="13" t="inlineStr">
        <is>
          <t>ALL</t>
        </is>
      </c>
      <c r="B5" s="13" t="inlineStr">
        <is>
          <t>All subsidiaries &amp; departments (group-wide)</t>
        </is>
      </c>
    </row>
    <row r="6" ht="15.6" customHeight="1">
      <c r="A6" s="13" t="inlineStr">
        <is>
          <t>FLT</t>
        </is>
      </c>
      <c r="B6" s="13" t="inlineStr">
        <is>
          <t>Flight Operations – pilots / flight crew</t>
        </is>
      </c>
    </row>
    <row r="7" ht="15.6" customHeight="1">
      <c r="A7" s="13" t="inlineStr">
        <is>
          <t>CAB</t>
        </is>
      </c>
      <c r="B7" s="13" t="inlineStr">
        <is>
          <t>Cabin Services – cabin crew</t>
        </is>
      </c>
    </row>
    <row r="8" ht="15.6" customHeight="1">
      <c r="A8" s="13" t="inlineStr">
        <is>
          <t>GND</t>
        </is>
      </c>
      <c r="B8" s="13" t="inlineStr">
        <is>
          <t>Ground Services – ramp, baggage, aircraft turnaround, GSE drivers</t>
        </is>
      </c>
    </row>
    <row r="9" ht="15.6" customHeight="1">
      <c r="A9" s="13" t="inlineStr">
        <is>
          <t>CGO</t>
        </is>
      </c>
      <c r="B9" s="13" t="inlineStr">
        <is>
          <t>Cargo &amp; Freight – warehouse, DGR/hazmat handling, cold chain, forklift</t>
        </is>
      </c>
    </row>
    <row r="10" ht="15.6" customHeight="1">
      <c r="A10" s="13" t="inlineStr">
        <is>
          <t>CAT</t>
        </is>
      </c>
      <c r="B10" s="13" t="inlineStr">
        <is>
          <t>Catering – food production, food handlers, cold rooms, dish-wash, knives</t>
        </is>
      </c>
    </row>
    <row r="11" ht="15.6" customHeight="1">
      <c r="A11" s="13" t="inlineStr">
        <is>
          <t>ENG</t>
        </is>
      </c>
      <c r="B11" s="13" t="inlineStr">
        <is>
          <t>Engineering &amp; Maintenance – hangar, hazmat/chemicals, noise, heights, confined space</t>
        </is>
      </c>
    </row>
    <row r="12" ht="15.6" customHeight="1">
      <c r="A12" s="13" t="inlineStr">
        <is>
          <t>SEC</t>
        </is>
      </c>
      <c r="B12" s="13" t="inlineStr">
        <is>
          <t>Security, Fire &amp; Rescue, Medical Response</t>
        </is>
      </c>
    </row>
    <row r="13" ht="15.6" customHeight="1">
      <c r="A13" s="13" t="inlineStr">
        <is>
          <t>H1</t>
        </is>
      </c>
      <c r="B13" s="13" t="inlineStr">
        <is>
          <t>Horizon 1 – Go-live readiness and close the gaps (months 0–6)</t>
        </is>
      </c>
    </row>
    <row r="14" ht="15.6" customHeight="1">
      <c r="A14" s="13" t="inlineStr">
        <is>
          <t>H2</t>
        </is>
      </c>
      <c r="B14" s="13" t="inlineStr">
        <is>
          <t>Horizon 2 – Scale, intelligence and experience (months 6–18)</t>
        </is>
      </c>
    </row>
    <row r="15" ht="15.6" customHeight="1">
      <c r="A15" s="13" t="inlineStr">
        <is>
          <t>H3</t>
        </is>
      </c>
      <c r="B15" s="13" t="inlineStr">
        <is>
          <t>Horizon 3 – Ecosystem and industry-leading OH platform (months 18–36)</t>
        </is>
      </c>
    </row>
    <row r="16" ht="15.6" customHeight="1">
      <c r="A16" s="13" t="inlineStr">
        <is>
          <t>P1 / P2 / P3</t>
        </is>
      </c>
      <c r="B16" s="13" t="inlineStr">
        <is>
          <t>Backlog priority: P1 critical, P2 important, P3 desirable</t>
        </is>
      </c>
    </row>
    <row r="17" ht="15.6" customHeight="1">
      <c r="A17" s="13" t="inlineStr">
        <is>
          <t>ISO45001</t>
        </is>
      </c>
      <c r="B17" s="13" t="inlineStr">
        <is>
          <t>ISO 45001:2018 – OH&amp;S management systems</t>
        </is>
      </c>
    </row>
    <row r="18" ht="15.6" customHeight="1">
      <c r="A18" s="13" t="inlineStr">
        <is>
          <t>ISO45003</t>
        </is>
      </c>
      <c r="B18" s="13" t="inlineStr">
        <is>
          <t>ISO 45003:2021 – psychological health &amp; safety / psychosocial risk</t>
        </is>
      </c>
    </row>
    <row r="19" ht="15.6" customHeight="1">
      <c r="A19" s="13" t="inlineStr">
        <is>
          <t>ISO27001</t>
        </is>
      </c>
      <c r="B19" s="13" t="inlineStr">
        <is>
          <t>ISO/IEC 27001:2022 – information security management, Annex A</t>
        </is>
      </c>
    </row>
    <row r="20" ht="15.6" customHeight="1">
      <c r="A20" s="13" t="inlineStr">
        <is>
          <t>ISO27017</t>
        </is>
      </c>
      <c r="B20" s="13" t="inlineStr">
        <is>
          <t>ISO/IEC 27017 – information security controls for cloud services (tenant segregation)</t>
        </is>
      </c>
    </row>
    <row r="21" ht="15.6" customHeight="1">
      <c r="A21" s="13" t="inlineStr">
        <is>
          <t>ISO27701</t>
        </is>
      </c>
      <c r="B21" s="13" t="inlineStr">
        <is>
          <t>ISO/IEC 27701 – privacy information management</t>
        </is>
      </c>
    </row>
    <row r="22" ht="15.6" customHeight="1">
      <c r="A22" s="13" t="inlineStr">
        <is>
          <t>ISO22301</t>
        </is>
      </c>
      <c r="B22" s="13" t="inlineStr">
        <is>
          <t>ISO 22301 – business continuity management</t>
        </is>
      </c>
    </row>
    <row r="23" ht="15.6" customHeight="1">
      <c r="A23" s="13" t="inlineStr">
        <is>
          <t>ISO20889</t>
        </is>
      </c>
      <c r="B23" s="13" t="inlineStr">
        <is>
          <t>ISO/IEC 20889 – privacy-enhancing data de-identification techniques</t>
        </is>
      </c>
    </row>
    <row r="24" ht="15.6" customHeight="1">
      <c r="A24" s="13" t="inlineStr">
        <is>
          <t>ISO25012</t>
        </is>
      </c>
      <c r="B24" s="13" t="inlineStr">
        <is>
          <t>ISO/IEC 25012 – data quality model</t>
        </is>
      </c>
    </row>
    <row r="25" ht="15.6" customHeight="1">
      <c r="A25" s="13" t="inlineStr">
        <is>
          <t>ISO42001</t>
        </is>
      </c>
      <c r="B25" s="13" t="inlineStr">
        <is>
          <t>ISO/IEC 42001 – AI management system</t>
        </is>
      </c>
    </row>
    <row r="26" ht="15.6" customHeight="1">
      <c r="A26" s="13" t="inlineStr">
        <is>
          <t>ISO23894</t>
        </is>
      </c>
      <c r="B26" s="13" t="inlineStr">
        <is>
          <t>ISO/IEC 23894 – AI risk management</t>
        </is>
      </c>
    </row>
    <row r="27" ht="15.6" customHeight="1">
      <c r="A27" s="13" t="inlineStr">
        <is>
          <t>NIST-AI-RMF</t>
        </is>
      </c>
      <c r="B27" s="13" t="inlineStr">
        <is>
          <t>NIST AI Risk Management Framework 1.0</t>
        </is>
      </c>
    </row>
    <row r="28" ht="15.6" customHeight="1">
      <c r="A28" s="13" t="inlineStr">
        <is>
          <t>EU-AI-ACT</t>
        </is>
      </c>
      <c r="B28" s="13" t="inlineStr">
        <is>
          <t>Reg (EU) 2024/1689 (AI Act) – used as benchmark for risk classification, human oversight and transparency; local AI regulation applies</t>
        </is>
      </c>
    </row>
    <row r="29" ht="15.6" customHeight="1">
      <c r="A29" s="13" t="inlineStr">
        <is>
          <t>DCB0129</t>
        </is>
      </c>
      <c r="B29" s="13" t="inlineStr">
        <is>
          <t>DCB0129 / DCB0160 – clinical risk management for health IT manufacture and deployment (UK standards, used as benchmark)</t>
        </is>
      </c>
    </row>
    <row r="30" ht="15.6" customHeight="1">
      <c r="A30" s="13" t="inlineStr">
        <is>
          <t>SOC2</t>
        </is>
      </c>
      <c r="B30" s="13" t="inlineStr">
        <is>
          <t>AICPA Trust Services Criteria – CC (security), A (availability), C (confidentiality), PI, P</t>
        </is>
      </c>
    </row>
    <row r="31" ht="15.6" customHeight="1">
      <c r="A31" s="13" t="inlineStr">
        <is>
          <t>SRE</t>
        </is>
      </c>
      <c r="B31" s="13" t="inlineStr">
        <is>
          <t>Site reliability engineering practice – service-level objectives, error budgets, burn-rate alerting</t>
        </is>
      </c>
    </row>
    <row r="32" ht="15.6" customHeight="1">
      <c r="A32" s="13" t="inlineStr">
        <is>
          <t>CIS-K8S</t>
        </is>
      </c>
      <c r="B32" s="13" t="inlineStr">
        <is>
          <t>CIS Kubernetes / AKS benchmarks</t>
        </is>
      </c>
    </row>
    <row r="33" ht="15.6" customHeight="1">
      <c r="A33" s="13" t="inlineStr">
        <is>
          <t>NIST-SSDF</t>
        </is>
      </c>
      <c r="B33" s="13" t="inlineStr">
        <is>
          <t>NIST SP 800-218 Secure Software Development Framework</t>
        </is>
      </c>
    </row>
    <row r="34" ht="15.6" customHeight="1">
      <c r="A34" s="13" t="inlineStr">
        <is>
          <t>SLSA</t>
        </is>
      </c>
      <c r="B34" s="13" t="inlineStr">
        <is>
          <t>Supply-chain Levels for Software Artifacts – build provenance</t>
        </is>
      </c>
    </row>
    <row r="35" ht="15.6" customHeight="1">
      <c r="A35" s="13" t="inlineStr">
        <is>
          <t>OWASP-MASVS</t>
        </is>
      </c>
      <c r="B35" s="13" t="inlineStr">
        <is>
          <t>OWASP Mobile Application Security Verification Standard v2</t>
        </is>
      </c>
    </row>
    <row r="36" ht="15.6" customHeight="1">
      <c r="A36" s="13" t="inlineStr">
        <is>
          <t>WCAG22</t>
        </is>
      </c>
      <c r="B36" s="13" t="inlineStr">
        <is>
          <t>W3C Web Content Accessibility Guidelines 2.2, level AA</t>
        </is>
      </c>
    </row>
    <row r="37" ht="15.6" customHeight="1">
      <c r="A37" s="13" t="inlineStr">
        <is>
          <t>EN301549</t>
        </is>
      </c>
      <c r="B37" s="13" t="inlineStr">
        <is>
          <t>EN 301 549 – accessibility requirements for ICT products and services</t>
        </is>
      </c>
    </row>
    <row r="38" ht="15.6" customHeight="1">
      <c r="A38" s="13" t="inlineStr">
        <is>
          <t>PDF-UA</t>
        </is>
      </c>
      <c r="B38" s="13" t="inlineStr">
        <is>
          <t>ISO 14289 – accessible PDF</t>
        </is>
      </c>
    </row>
    <row r="39" ht="15.6" customHeight="1">
      <c r="A39" s="13" t="inlineStr">
        <is>
          <t>HL7-FHIR</t>
        </is>
      </c>
      <c r="B39" s="13" t="inlineStr">
        <is>
          <t>HL7 FHIR R4 / R4B / R5 incl. subscriptions; SMART App Launch</t>
        </is>
      </c>
    </row>
    <row r="40" ht="15.6" customHeight="1">
      <c r="A40" s="13" t="inlineStr">
        <is>
          <t>HL7-ODH</t>
        </is>
      </c>
      <c r="B40" s="13" t="inlineStr">
        <is>
          <t>HL7 FHIR Occupational Data for Health (ODH) IG</t>
        </is>
      </c>
    </row>
    <row r="41" ht="15.6" customHeight="1">
      <c r="A41" s="13" t="inlineStr">
        <is>
          <t>HL7-V2</t>
        </is>
      </c>
      <c r="B41" s="13" t="inlineStr">
        <is>
          <t>HL7 version 2.5.1 messaging (ORU, ORM, ADT)</t>
        </is>
      </c>
    </row>
    <row r="42" ht="15.6" customHeight="1">
      <c r="A42" s="13" t="inlineStr">
        <is>
          <t>IHE</t>
        </is>
      </c>
      <c r="B42" s="13" t="inlineStr">
        <is>
          <t>IHE IT Infrastructure profiles – MHD, XDS.b, PIXm, PDQm, ATNA, IUA</t>
        </is>
      </c>
    </row>
    <row r="43" ht="15.6" customHeight="1">
      <c r="A43" s="13" t="inlineStr">
        <is>
          <t>SNOMED-ICD</t>
        </is>
      </c>
      <c r="B43" s="13" t="inlineStr">
        <is>
          <t>SNOMED CT / ICD-10 or ICD-11 / LOINC – clinical, diagnosis and lab coding</t>
        </is>
      </c>
    </row>
    <row r="44" ht="15.6" customHeight="1">
      <c r="A44" s="13" t="inlineStr">
        <is>
          <t>EASA-MED</t>
        </is>
      </c>
      <c r="B44" s="13" t="inlineStr">
        <is>
          <t>EASA Part-MED (Reg (EU) 1178/2011 Annex IV) – pilot medical certificates, cabin crew medical reports</t>
        </is>
      </c>
    </row>
    <row r="45" ht="15.6" customHeight="1">
      <c r="A45" s="13" t="inlineStr">
        <is>
          <t>ICAO-A1</t>
        </is>
      </c>
      <c r="B45" s="13" t="inlineStr">
        <is>
          <t>ICAO Annex 1 Ch. 6 – medical provisions for licensing</t>
        </is>
      </c>
    </row>
    <row r="46" ht="15.6" customHeight="1">
      <c r="A46" s="13" t="inlineStr">
        <is>
          <t>ICAO-A6</t>
        </is>
      </c>
      <c r="B46" s="13" t="inlineStr">
        <is>
          <t>ICAO Annex 6 – operator responsibilities incl. fatigue management (FRMS); ICAO Doc 9966 FRMS manual</t>
        </is>
      </c>
    </row>
    <row r="47" ht="15.6" customHeight="1">
      <c r="A47" s="13" t="inlineStr">
        <is>
          <t>ICAO-8984</t>
        </is>
      </c>
      <c r="B47" s="13" t="inlineStr">
        <is>
          <t>ICAO Doc 8984 – Manual of Civil Aviation Medicine</t>
        </is>
      </c>
    </row>
    <row r="48" ht="15.6" customHeight="1">
      <c r="A48" s="13" t="inlineStr">
        <is>
          <t>IOSA</t>
        </is>
      </c>
      <c r="B48" s="13" t="inlineStr">
        <is>
          <t>IATA Operational Safety Audit – crew fitness and SMS standards</t>
        </is>
      </c>
    </row>
    <row r="49" ht="15.6" customHeight="1">
      <c r="A49" s="13" t="inlineStr">
        <is>
          <t>ILO-C161</t>
        </is>
      </c>
      <c r="B49" s="13" t="inlineStr">
        <is>
          <t>ILO Convention C161 – occupational health services</t>
        </is>
      </c>
    </row>
    <row r="50" ht="15.6" customHeight="1">
      <c r="A50" s="13" t="inlineStr">
        <is>
          <t>WHO-IHR</t>
        </is>
      </c>
      <c r="B50" s="13" t="inlineStr">
        <is>
          <t>WHO International Health Regulations – preparedness and reporting</t>
        </is>
      </c>
    </row>
    <row r="51" ht="15.6" customHeight="1">
      <c r="A51" s="13" t="inlineStr">
        <is>
          <t>HIMSS</t>
        </is>
      </c>
      <c r="B51" s="13" t="inlineStr">
        <is>
          <t>HIMSS Digital Health Indicator (incl. interoperability, person-enabled health, predictive analytics)</t>
        </is>
      </c>
    </row>
    <row r="52" ht="15.6" customHeight="1">
      <c r="A52" s="13" t="inlineStr">
        <is>
          <t>LOCAL-OHS</t>
        </is>
      </c>
      <c r="B52" s="13" t="inlineStr">
        <is>
          <t>Local labour law, national OH&amp;S regulation and civil aviation authority medical requirements (e.g. UK CAA, UAE GCAA)</t>
        </is>
      </c>
    </row>
    <row r="53" ht="15.6" customHeight="1">
      <c r="A53" s="13" t="inlineStr">
        <is>
          <t>LOCAL-PDP</t>
        </is>
      </c>
      <c r="B53" s="13" t="inlineStr">
        <is>
          <t>Local personal-data-protection law + GDPR Art. 9 (special-category health data) as benchmark</t>
        </is>
      </c>
    </row>
    <row r="54" ht="15.6" customHeight="1">
      <c r="A54" s="13" t="inlineStr">
        <is>
          <t>Type: Story</t>
        </is>
      </c>
      <c r="B54" s="13" t="inlineStr">
        <is>
          <t>User-facing functionality expressed as a user story</t>
        </is>
      </c>
    </row>
    <row r="55" ht="15.6" customHeight="1">
      <c r="A55" s="13" t="inlineStr">
        <is>
          <t>Type: Enabler</t>
        </is>
      </c>
      <c r="B55" s="13" t="inlineStr">
        <is>
          <t>Architectural / technical foundation work</t>
        </is>
      </c>
    </row>
    <row r="56" ht="15.6" customHeight="1">
      <c r="A56" s="13" t="inlineStr">
        <is>
          <t>Type: Task</t>
        </is>
      </c>
      <c r="B56" s="13" t="inlineStr">
        <is>
          <t>Non-development work (content, configuration, governance, training, procurement)</t>
        </is>
      </c>
    </row>
    <row r="57" ht="15.6" customHeight="1">
      <c r="A57" s="13" t="inlineStr">
        <is>
          <t>Type: Spike</t>
        </is>
      </c>
      <c r="B57" s="13" t="inlineStr">
        <is>
          <t>Time-boxed investigation to remove uncertainty</t>
        </is>
      </c>
    </row>
  </sheetData>
  <mergeCells count="3">
    <mergeCell ref="A1:D1"/>
    <mergeCell ref="A3:D3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WellnessZ Product &amp; Architecture</dc:creator>
  <dc:title xmlns:dc="http://purl.org/dc/elements/1.1/">E28 – Clinical Documentation Assistant (governed)</dc:title>
  <dc:subject xmlns:dc="http://purl.org/dc/elements/1.1/">WellnessZ OHCM – strategy epic workbook</dc:subject>
  <dcterms:created xmlns:dcterms="http://purl.org/dc/terms/" xmlns:xsi="http://www.w3.org/2001/XMLSchema-instance" xsi:type="dcterms:W3CDTF">2026-10-30T13:11:13Z</dcterms:created>
  <dcterms:modified xmlns:dcterms="http://purl.org/dc/terms/" xmlns:xsi="http://www.w3.org/2001/XMLSchema-instance" xsi:type="dcterms:W3CDTF">2026-10-30T13:11:13Z</dcterms:modified>
</cp:coreProperties>
</file>