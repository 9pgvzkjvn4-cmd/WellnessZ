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Requirements'!$A$4:$H$10</definedName>
    <definedName name="_xlnm.Print_Titles" localSheetId="1">'High-Level Requirements'!$4:$4</definedName>
    <definedName name="_xlnm._FilterDatabase" localSheetId="2" hidden="1">'Feature List'!$A$4:$J$10</definedName>
    <definedName name="_xlnm.Print_Titles" localSheetId="2">'Feature List'!$4:$4</definedName>
    <definedName name="_xlnm._FilterDatabase" localSheetId="3" hidden="1">'Implementation Backlog'!$A$4:$O$16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E23 – Interoperability Hub (FHIR, IHE, HL7 v2, national records)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E23</t>
        </is>
      </c>
    </row>
    <row r="6" ht="15.6" customHeight="1">
      <c r="A6" s="4" t="inlineStr">
        <is>
          <t>Epic name</t>
        </is>
      </c>
      <c r="B6" s="5" t="inlineStr">
        <is>
          <t>Interoperability Hub (FHIR, IHE, HL7 v2, national records)</t>
        </is>
      </c>
    </row>
    <row r="7" ht="53.4" customHeight="1">
      <c r="A7" s="4" t="inlineStr">
        <is>
          <t>Goal</t>
        </is>
      </c>
      <c r="B7" s="5" t="inlineStr">
        <is>
          <t>Grow the FHIR R4 and HL7 v2 endpoints of the platform into an interoperability hub: a complete, published FHIR profile set with R5 readiness, FHIR subscriptions, SMART app launch, IHE document and identity profiles, an HL7 v2 interface capability for laboratories and devices, a licensed terminology service, and connectors to national or emirate-level health information exchanges where the law and the employee's consent allow.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Paper and e-mail reports are the main confidentiality leakage point today (E03 rationale). Electronic exchange shortens referral-to-report time, removes re-keying errors and lets each new partner hospital or laboratory be onboarded in weeks instead of a project. Standards protect against lock-in to any partner's proprietary interface.</t>
        </is>
      </c>
      <c r="C8" s="6" t="n"/>
    </row>
    <row r="9" ht="103.8" customHeight="1">
      <c r="A9" s="4" t="inlineStr">
        <is>
          <t>In scope</t>
        </is>
      </c>
      <c r="B9" s="5" t="inlineStr">
        <is>
          <t>• FHIR R4 profiles (Patient, Encounter, Condition, Observation, ServiceRequest, DocumentReference, Procedure, Consent, Task) published as an implementation guide; R5 readiness
• FHIR subscriptions (R4B / R5 backport) for partner notifications
• SMART on FHIR app launch for approved third-party clinical apps
• IHE MHD / XDS.b document exchange, PIXm / PDQm identity, ATNA audit, IUA authorisation
• HL7 v2 (ORU, ORM, ADT) interface capability for labs and devices
• Terminology service with licensed national editions (D10)
• National / emirate-level health information exchange connector (consent-gated, where legally permitted)</t>
        </is>
      </c>
      <c r="C9" s="6" t="n"/>
    </row>
    <row r="10" ht="40.8" customHeight="1">
      <c r="A10" s="4" t="inlineStr">
        <is>
          <t>Out of scope</t>
        </is>
      </c>
      <c r="B10" s="5" t="inlineStr">
        <is>
          <t>• Building partner systems' interfaces
• Insurer / ERP / HRIS business connectors (E15 completion)
• Regulator medical-certification portals (E24)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Integration architect; Integration team; CMO; DPO; Partner hospitals and laboratories; Procurement (partner contracts); Cyber GRC</t>
        </is>
      </c>
      <c r="C11" s="6" t="n"/>
    </row>
    <row r="12" ht="66" customHeight="1">
      <c r="A12" s="4" t="inlineStr">
        <is>
          <t>Success KPIs</t>
        </is>
      </c>
      <c r="B12" s="5" t="inlineStr">
        <is>
          <t>• ≥ 95 % of partner clinical exchanges electronic and standards-based (no e-mail attachments)
• Onboarding time for a new FHIR partner ≤ 4 weeks
• Referral reports returned electronically ≥ 80 % (supports E04 KPI ≥ 90 % within 7 days)
• 100 % conformance-test pass of published profiles
• Terminology releases applied within 30 days</t>
        </is>
      </c>
      <c r="C12" s="6" t="n"/>
    </row>
    <row r="13" ht="15.6" customHeight="1">
      <c r="A13" s="4" t="inlineStr">
        <is>
          <t>Dependencies</t>
        </is>
      </c>
      <c r="B13" s="5" t="inlineStr">
        <is>
          <t>E15 Integration (gateway, broker, outbox); E16 Consent and audit; E18 Terminology and master data; E04 / E03 as main consumers</t>
        </is>
      </c>
      <c r="C13" s="6" t="n"/>
    </row>
    <row r="14" ht="66" customHeight="1">
      <c r="A14" s="4" t="inlineStr">
        <is>
          <t>Standards &amp; references</t>
        </is>
      </c>
      <c r="B14" s="5" t="inlineStr">
        <is>
          <t>• HL7-FHIR R4 / R4B / R5; HL7-ODH; SMART App Launch 2.x
• IHE ITI profiles: MHD, XDS.b, PIXm, PDQm, ATNA, IUA
• HL7-V2 v2.5.1 messaging
• SNOMED-ICD with licensed national editions
• LOCAL-PDP consent for disclosure</t>
        </is>
      </c>
      <c r="C14" s="6" t="n"/>
    </row>
    <row r="15" ht="28.2" customHeight="1">
      <c r="A15" s="4" t="inlineStr">
        <is>
          <t>Evidence base (why now)</t>
        </is>
      </c>
      <c r="B15" s="5" t="inlineStr">
        <is>
          <t>Increment-2 limitations: FHIR Procedure, Consent, Task, ServiceRequest not mapped, no subscriptions; increment 4: ServiceRequest / DocumentReference exchange tested with a simulated partner only (O25); terminology starter subset only (O13, D10); OCR off (D14).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H2 – Scale (months 6–18); spike on national exchange eligibility in H1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Requirements'!A5:A10)</f>
        <v/>
      </c>
    </row>
    <row r="20" ht="15" customHeight="1">
      <c r="A20" s="8" t="inlineStr">
        <is>
          <t>Number of features</t>
        </is>
      </c>
      <c r="B20" s="9">
        <f>COUNTA('Feature List'!A5:A10)</f>
        <v/>
      </c>
    </row>
    <row r="21" ht="15" customHeight="1">
      <c r="A21" s="8" t="inlineStr">
        <is>
          <t>Number of backlog items</t>
        </is>
      </c>
      <c r="B21" s="9">
        <f>COUNTA('Implementation Backlog'!A5:A16)</f>
        <v/>
      </c>
    </row>
    <row r="22" ht="15" customHeight="1">
      <c r="A22" s="8" t="inlineStr">
        <is>
          <t>Total story points (indicative)</t>
        </is>
      </c>
      <c r="B22" s="9">
        <f>SUM('Implementation Backlog'!G5:G16)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Backlog'!H5:H16,"H1",'Implementation Backlog'!G5:G16)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Backlog'!H5:H16,"H2",'Implementation Backlog'!G5:G16)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Backlog'!H5:H16,"H3",'Implementation Backlog'!G5:G16)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Backlog'!G5:G16)/30,0)</f>
        <v/>
      </c>
    </row>
    <row r="27" ht="15" customHeight="1">
      <c r="A27" s="8" t="inlineStr">
        <is>
          <t>Must-have requirements</t>
        </is>
      </c>
      <c r="B27" s="9">
        <f>COUNTIF('High-Level Requirements'!D5:D10,"Must")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Backlog'!N5:N16)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E23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40.8" customHeight="1">
      <c r="A5" s="12" t="inlineStr">
        <is>
          <t>E23-HLR-01</t>
        </is>
      </c>
      <c r="B5" s="13" t="inlineStr">
        <is>
          <t>The platform shall publish and conform to a FHIR implementation guide covering all resources it exchanges, including Procedure, Consent and Task, and shall be ready to accept FHIR R5 partners.</t>
        </is>
      </c>
      <c r="C5" s="13" t="inlineStr">
        <is>
          <t>Partners need a stable contract; missing resources block live hospital exchange.</t>
        </is>
      </c>
      <c r="D5" s="12" t="inlineStr">
        <is>
          <t>Must</t>
        </is>
      </c>
      <c r="E5" s="13" t="inlineStr">
        <is>
          <t>HL7-FHIR; HL7-ODH</t>
        </is>
      </c>
      <c r="F5" s="13" t="inlineStr">
        <is>
          <t>ALL – All subsidiaries &amp; departments (group-wide)</t>
        </is>
      </c>
      <c r="G5" s="14" t="n"/>
      <c r="H5" s="15" t="n"/>
    </row>
    <row r="6" ht="35.05" customHeight="1">
      <c r="A6" s="12" t="inlineStr">
        <is>
          <t>E23-HLR-02</t>
        </is>
      </c>
      <c r="B6" s="13" t="inlineStr">
        <is>
          <t>Partners shall be able to subscribe to relevant events (e.g. referral accepted, report due) through FHIR subscriptions instead of polling or e-mail.</t>
        </is>
      </c>
      <c r="C6" s="13" t="inlineStr">
        <is>
          <t>Removes chasing by e-mail; standard notification mechanism.</t>
        </is>
      </c>
      <c r="D6" s="12" t="inlineStr">
        <is>
          <t>Should</t>
        </is>
      </c>
      <c r="E6" s="13" t="inlineStr">
        <is>
          <t>HL7-FHIR</t>
        </is>
      </c>
      <c r="F6" s="13" t="inlineStr">
        <is>
          <t>ALL – All subsidiaries &amp; departments (group-wide)</t>
        </is>
      </c>
      <c r="G6" s="14" t="n"/>
      <c r="H6" s="15" t="n"/>
    </row>
    <row r="7" ht="35.05" customHeight="1">
      <c r="A7" s="12" t="inlineStr">
        <is>
          <t>E23-HLR-03</t>
        </is>
      </c>
      <c r="B7" s="13" t="inlineStr">
        <is>
          <t>Document and identity exchange with hospitals and regional exchanges shall use IHE profiles (MHD / XDS.b, PIXm / PDQm) with ATNA-conformant audit.</t>
        </is>
      </c>
      <c r="C7" s="13" t="inlineStr">
        <is>
          <t>Regional exchanges and hospital groups expose IHE profiles; audit must stay end to end.</t>
        </is>
      </c>
      <c r="D7" s="12" t="inlineStr">
        <is>
          <t>Should</t>
        </is>
      </c>
      <c r="E7" s="13" t="inlineStr">
        <is>
          <t>IHE; ISO27001</t>
        </is>
      </c>
      <c r="F7" s="13" t="inlineStr">
        <is>
          <t>ALL – All subsidiaries &amp; departments (group-wide)</t>
        </is>
      </c>
      <c r="G7" s="14" t="n"/>
      <c r="H7" s="15" t="n"/>
    </row>
    <row r="8" ht="35.05" customHeight="1">
      <c r="A8" s="12" t="inlineStr">
        <is>
          <t>E23-HLR-04</t>
        </is>
      </c>
      <c r="B8" s="13" t="inlineStr">
        <is>
          <t>Laboratories and devices that only speak HL7 v2 shall be connected through a managed interface capability with mapping, acknowledgement and replay.</t>
        </is>
      </c>
      <c r="C8" s="13" t="inlineStr">
        <is>
          <t>Many laboratory and audiometry systems still use v2.</t>
        </is>
      </c>
      <c r="D8" s="12" t="inlineStr">
        <is>
          <t>Must</t>
        </is>
      </c>
      <c r="E8" s="13" t="inlineStr">
        <is>
          <t>HL7-V2; SNOMED-ICD</t>
        </is>
      </c>
      <c r="F8" s="13" t="inlineStr">
        <is>
          <t>ALL – All subsidiaries &amp; departments (group-wide)</t>
        </is>
      </c>
      <c r="G8" s="14" t="n"/>
      <c r="H8" s="15" t="n"/>
    </row>
    <row r="9" ht="35.05" customHeight="1">
      <c r="A9" s="12" t="inlineStr">
        <is>
          <t>E23-HLR-05</t>
        </is>
      </c>
      <c r="B9" s="13" t="inlineStr">
        <is>
          <t>Coding shall use a terminology service with licensed national editions and an update runbook.</t>
        </is>
      </c>
      <c r="C9" s="13" t="inlineStr">
        <is>
          <t>Starter subset is not safe for production coding; licence per country (R13).</t>
        </is>
      </c>
      <c r="D9" s="12" t="inlineStr">
        <is>
          <t>Must</t>
        </is>
      </c>
      <c r="E9" s="13" t="inlineStr">
        <is>
          <t>SNOMED-ICD</t>
        </is>
      </c>
      <c r="F9" s="13" t="inlineStr">
        <is>
          <t>ALL – All subsidiaries &amp; departments (group-wide)</t>
        </is>
      </c>
      <c r="G9" s="14" t="n"/>
      <c r="H9" s="15" t="n"/>
    </row>
    <row r="10" ht="40.8" customHeight="1">
      <c r="A10" s="12" t="inlineStr">
        <is>
          <t>E23-HLR-06</t>
        </is>
      </c>
      <c r="B10" s="13" t="inlineStr">
        <is>
          <t>Where the law permits and the employee consents, the platform shall retrieve or contribute summary data to a national or emirate-level health information exchange.</t>
        </is>
      </c>
      <c r="C10" s="13" t="inlineStr">
        <is>
          <t>Avoids duplicate tests and gives OH clinicians relevant history; must never be default.</t>
        </is>
      </c>
      <c r="D10" s="12" t="inlineStr">
        <is>
          <t>Could</t>
        </is>
      </c>
      <c r="E10" s="13" t="inlineStr">
        <is>
          <t>LOCAL-PDP; HL7-FHIR</t>
        </is>
      </c>
      <c r="F10" s="13" t="inlineStr">
        <is>
          <t>ALL – All subsidiaries &amp; departments (group-wide)</t>
        </is>
      </c>
      <c r="G10" s="14" t="n"/>
      <c r="H10" s="15" t="n"/>
    </row>
  </sheetData>
  <autoFilter ref="A4:H10"/>
  <mergeCells count="3">
    <mergeCell ref="A3:H3"/>
    <mergeCell ref="A2:H2"/>
    <mergeCell ref="A1:H1"/>
  </mergeCells>
  <conditionalFormatting sqref="D5:D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E23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E23-F01</t>
        </is>
      </c>
      <c r="B5" s="13" t="inlineStr">
        <is>
          <t>Published FHIR implementation guide</t>
        </is>
      </c>
      <c r="C5" s="13" t="inlineStr">
        <is>
          <t>Profiles, extensions and examples for every exchanged resource; conformance test suite in CI; R5 mapping layer.</t>
        </is>
      </c>
      <c r="D5" s="13" t="inlineStr">
        <is>
          <t>Integration architect</t>
        </is>
      </c>
      <c r="E5" s="12" t="inlineStr">
        <is>
          <t>Must</t>
        </is>
      </c>
      <c r="F5" s="13" t="inlineStr">
        <is>
          <t>E23-HLR-01</t>
        </is>
      </c>
      <c r="G5" s="13" t="inlineStr">
        <is>
          <t>IG published; conformance tests pass; Procedure, Consent, Task mapped.</t>
        </is>
      </c>
      <c r="H5" s="13" t="inlineStr">
        <is>
          <t>None</t>
        </is>
      </c>
      <c r="I5" s="14" t="n"/>
      <c r="J5" s="15" t="n"/>
    </row>
    <row r="6" ht="35.05" customHeight="1">
      <c r="A6" s="12" t="inlineStr">
        <is>
          <t>E23-F02</t>
        </is>
      </c>
      <c r="B6" s="13" t="inlineStr">
        <is>
          <t>FHIR subscriptions</t>
        </is>
      </c>
      <c r="C6" s="13" t="inlineStr">
        <is>
          <t>Topic-based subscriptions with content-free notifications and authorised fetch.</t>
        </is>
      </c>
      <c r="D6" s="13" t="inlineStr">
        <is>
          <t>Integration team; Partners</t>
        </is>
      </c>
      <c r="E6" s="12" t="inlineStr">
        <is>
          <t>Should</t>
        </is>
      </c>
      <c r="F6" s="13" t="inlineStr">
        <is>
          <t>E23-HLR-02</t>
        </is>
      </c>
      <c r="G6" s="13" t="inlineStr">
        <is>
          <t>Partner receives referral-status notifications; payload carries no clinical content.</t>
        </is>
      </c>
      <c r="H6" s="13" t="inlineStr">
        <is>
          <t>Partner org binding (org_scope) applies.</t>
        </is>
      </c>
      <c r="I6" s="14" t="n"/>
      <c r="J6" s="15" t="n"/>
    </row>
    <row r="7" ht="35.05" customHeight="1">
      <c r="A7" s="12" t="inlineStr">
        <is>
          <t>E23-F03</t>
        </is>
      </c>
      <c r="B7" s="13" t="inlineStr">
        <is>
          <t>IHE document and identity profiles</t>
        </is>
      </c>
      <c r="C7" s="13" t="inlineStr">
        <is>
          <t>MHD / XDS.b document source and consumer, PIXm / PDQm identity, ATNA audit forwarding, IUA tokens.</t>
        </is>
      </c>
      <c r="D7" s="13" t="inlineStr">
        <is>
          <t>Integration team</t>
        </is>
      </c>
      <c r="E7" s="12" t="inlineStr">
        <is>
          <t>Should</t>
        </is>
      </c>
      <c r="F7" s="13" t="inlineStr">
        <is>
          <t>E23-HLR-03</t>
        </is>
      </c>
      <c r="G7" s="13" t="inlineStr">
        <is>
          <t>Connectathon-style test with a reference implementation passes.</t>
        </is>
      </c>
      <c r="H7" s="13" t="inlineStr">
        <is>
          <t>Depends on the target exchange's profile set.</t>
        </is>
      </c>
      <c r="I7" s="14" t="n"/>
      <c r="J7" s="15" t="n"/>
    </row>
    <row r="8" ht="35.05" customHeight="1">
      <c r="A8" s="12" t="inlineStr">
        <is>
          <t>E23-F04</t>
        </is>
      </c>
      <c r="B8" s="13" t="inlineStr">
        <is>
          <t>HL7 v2 interface capability</t>
        </is>
      </c>
      <c r="C8" s="13" t="inlineStr">
        <is>
          <t>Managed v2 interface (MLLP over TLS / VPN) with mapping, ACK / NACK, replay and monitoring.</t>
        </is>
      </c>
      <c r="D8" s="13" t="inlineStr">
        <is>
          <t>Integration team; Laboratory</t>
        </is>
      </c>
      <c r="E8" s="12" t="inlineStr">
        <is>
          <t>Must</t>
        </is>
      </c>
      <c r="F8" s="13" t="inlineStr">
        <is>
          <t>E23-HLR-04</t>
        </is>
      </c>
      <c r="G8" s="13" t="inlineStr">
        <is>
          <t>ORU results from a live laboratory flow into the pull queue; NACKs alert.</t>
        </is>
      </c>
      <c r="H8" s="13" t="inlineStr">
        <is>
          <t>Toxicology LIMS uses its own bound API (E10).</t>
        </is>
      </c>
      <c r="I8" s="14" t="n"/>
      <c r="J8" s="15" t="n"/>
    </row>
    <row r="9" ht="35.05" customHeight="1">
      <c r="A9" s="12" t="inlineStr">
        <is>
          <t>E23-F05</t>
        </is>
      </c>
      <c r="B9" s="13" t="inlineStr">
        <is>
          <t>Terminology service</t>
        </is>
      </c>
      <c r="C9" s="13" t="inlineStr">
        <is>
          <t>Terminology server with licensed national editions, value-set management and update runbook.</t>
        </is>
      </c>
      <c r="D9" s="13" t="inlineStr">
        <is>
          <t>CMO; Integration team</t>
        </is>
      </c>
      <c r="E9" s="12" t="inlineStr">
        <is>
          <t>Must</t>
        </is>
      </c>
      <c r="F9" s="13" t="inlineStr">
        <is>
          <t>E23-HLR-05</t>
        </is>
      </c>
      <c r="G9" s="13" t="inlineStr">
        <is>
          <t>Licensed edition loaded per environment; search ≤ 300 ms at load.</t>
        </is>
      </c>
      <c r="H9" s="13" t="inlineStr">
        <is>
          <t>Licence per operating country (D10).</t>
        </is>
      </c>
      <c r="I9" s="14" t="n"/>
      <c r="J9" s="15" t="n"/>
    </row>
    <row r="10" ht="35.05" customHeight="1">
      <c r="A10" s="12" t="inlineStr">
        <is>
          <t>E23-F06</t>
        </is>
      </c>
      <c r="B10" s="13" t="inlineStr">
        <is>
          <t>National health information exchange connector</t>
        </is>
      </c>
      <c r="C10" s="13" t="inlineStr">
        <is>
          <t>Consent-gated query / contribute connector for one national or emirate-level exchange.</t>
        </is>
      </c>
      <c r="D10" s="13" t="inlineStr">
        <is>
          <t>DPO; CMO; Integration team</t>
        </is>
      </c>
      <c r="E10" s="12" t="inlineStr">
        <is>
          <t>Could</t>
        </is>
      </c>
      <c r="F10" s="13" t="inlineStr">
        <is>
          <t>E23-HLR-06</t>
        </is>
      </c>
      <c r="G10" s="13" t="inlineStr">
        <is>
          <t>Pilot with explicit consent; every query in the disclosure log.</t>
        </is>
      </c>
      <c r="H10" s="13" t="inlineStr">
        <is>
          <t>Eligibility and onboarding vary by exchange.</t>
        </is>
      </c>
      <c r="I10" s="14" t="n"/>
      <c r="J10" s="15" t="n"/>
    </row>
  </sheetData>
  <autoFilter ref="A4:J10"/>
  <mergeCells count="3">
    <mergeCell ref="A1:J1"/>
    <mergeCell ref="A3:J3"/>
    <mergeCell ref="A2:J2"/>
  </mergeCells>
  <conditionalFormatting sqref="E5:E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E23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E23-BL-001</t>
        </is>
      </c>
      <c r="B5" s="12" t="inlineStr">
        <is>
          <t>E23-F01</t>
        </is>
      </c>
      <c r="C5" s="13">
        <f>IFERROR(INDEX('Feature List'!$B$5:$B$10,MATCH(B5,'Feature List'!$A$5:$A$10,0)),"")</f>
        <v/>
      </c>
      <c r="D5" s="12" t="inlineStr">
        <is>
          <t>Enabler</t>
        </is>
      </c>
      <c r="E5" s="13" t="inlineStr">
        <is>
          <t>Author the WellnessZ FHIR implementation guide (profiles, extensions, examples) and publish it to partners</t>
        </is>
      </c>
      <c r="F5" s="13" t="inlineStr">
        <is>
          <t>IG built and versioned; reviewed by two partners</t>
        </is>
      </c>
      <c r="G5" s="12" t="n">
        <v>8</v>
      </c>
      <c r="H5" s="12" t="inlineStr">
        <is>
          <t>H2</t>
        </is>
      </c>
      <c r="I5" s="12" t="inlineStr">
        <is>
          <t>P1</t>
        </is>
      </c>
      <c r="J5" s="13" t="inlineStr">
        <is>
          <t>Integration</t>
        </is>
      </c>
      <c r="K5" s="13" t="inlineStr">
        <is>
          <t>E15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E23-BL-002</t>
        </is>
      </c>
      <c r="B6" s="12" t="inlineStr">
        <is>
          <t>E23-F01</t>
        </is>
      </c>
      <c r="C6" s="13">
        <f>IFERROR(INDEX('Feature List'!$B$5:$B$10,MATCH(B6,'Feature List'!$A$5:$A$10,0)),"")</f>
        <v/>
      </c>
      <c r="D6" s="12" t="inlineStr">
        <is>
          <t>Enabler</t>
        </is>
      </c>
      <c r="E6" s="13" t="inlineStr">
        <is>
          <t>Map Procedure, Consent and Task resources and add them to the FHIR export and partner API</t>
        </is>
      </c>
      <c r="F6" s="13" t="inlineStr">
        <is>
          <t>Round-trip tests; consent resources reflect the consent register</t>
        </is>
      </c>
      <c r="G6" s="12" t="n">
        <v>8</v>
      </c>
      <c r="H6" s="12" t="inlineStr">
        <is>
          <t>H2</t>
        </is>
      </c>
      <c r="I6" s="12" t="inlineStr">
        <is>
          <t>P1</t>
        </is>
      </c>
      <c r="J6" s="13" t="inlineStr">
        <is>
          <t>Integration</t>
        </is>
      </c>
      <c r="K6" s="13" t="inlineStr">
        <is>
          <t>E16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E23-BL-003</t>
        </is>
      </c>
      <c r="B7" s="12" t="inlineStr">
        <is>
          <t>E23-F01</t>
        </is>
      </c>
      <c r="C7" s="13">
        <f>IFERROR(INDEX('Feature List'!$B$5:$B$10,MATCH(B7,'Feature List'!$A$5:$A$10,0)),"")</f>
        <v/>
      </c>
      <c r="D7" s="12" t="inlineStr">
        <is>
          <t>Enabler</t>
        </is>
      </c>
      <c r="E7" s="13" t="inlineStr">
        <is>
          <t>Conformance test suite for the IG in CI and an R5 compatibility mapping layer</t>
        </is>
      </c>
      <c r="F7" s="13" t="inlineStr">
        <is>
          <t>Suite runs per build; R5 test partner exchange passes</t>
        </is>
      </c>
      <c r="G7" s="12" t="n">
        <v>8</v>
      </c>
      <c r="H7" s="12" t="inlineStr">
        <is>
          <t>H2</t>
        </is>
      </c>
      <c r="I7" s="12" t="inlineStr">
        <is>
          <t>P2</t>
        </is>
      </c>
      <c r="J7" s="13" t="inlineStr">
        <is>
          <t>Integration; QA</t>
        </is>
      </c>
      <c r="K7" s="13" t="inlineStr">
        <is>
          <t>–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E23-BL-004</t>
        </is>
      </c>
      <c r="B8" s="12" t="inlineStr">
        <is>
          <t>E23-F02</t>
        </is>
      </c>
      <c r="C8" s="13">
        <f>IFERROR(INDEX('Feature List'!$B$5:$B$10,MATCH(B8,'Feature List'!$A$5:$A$10,0)),"")</f>
        <v/>
      </c>
      <c r="D8" s="12" t="inlineStr">
        <is>
          <t>Story</t>
        </is>
      </c>
      <c r="E8" s="13" t="inlineStr">
        <is>
          <t>As a partner hospital I want to subscribe to referral events so that I stop polling and chasing by e-mail</t>
        </is>
      </c>
      <c r="F8" s="13" t="inlineStr">
        <is>
          <t>Topic subscription; content-free notification; authorised fetch</t>
        </is>
      </c>
      <c r="G8" s="12" t="n">
        <v>8</v>
      </c>
      <c r="H8" s="12" t="inlineStr">
        <is>
          <t>H2</t>
        </is>
      </c>
      <c r="I8" s="12" t="inlineStr">
        <is>
          <t>P2</t>
        </is>
      </c>
      <c r="J8" s="13" t="inlineStr">
        <is>
          <t>Integration</t>
        </is>
      </c>
      <c r="K8" s="13" t="inlineStr">
        <is>
          <t>E04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E23-BL-005</t>
        </is>
      </c>
      <c r="B9" s="12" t="inlineStr">
        <is>
          <t>E23-F03</t>
        </is>
      </c>
      <c r="C9" s="13">
        <f>IFERROR(INDEX('Feature List'!$B$5:$B$10,MATCH(B9,'Feature List'!$A$5:$A$10,0)),"")</f>
        <v/>
      </c>
      <c r="D9" s="12" t="inlineStr">
        <is>
          <t>Spike</t>
        </is>
      </c>
      <c r="E9" s="13" t="inlineStr">
        <is>
          <t>Assess eligibility and profile sets of the national / emirate-level exchanges in the operating countries</t>
        </is>
      </c>
      <c r="F9" s="13" t="inlineStr">
        <is>
          <t>Decision memo per country: legal basis, profiles, onboarding effort</t>
        </is>
      </c>
      <c r="G9" s="12" t="n">
        <v>3</v>
      </c>
      <c r="H9" s="12" t="inlineStr">
        <is>
          <t>H1</t>
        </is>
      </c>
      <c r="I9" s="12" t="inlineStr">
        <is>
          <t>P2</t>
        </is>
      </c>
      <c r="J9" s="13" t="inlineStr">
        <is>
          <t>Integration; DPO</t>
        </is>
      </c>
      <c r="K9" s="13" t="inlineStr">
        <is>
          <t>–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E23-BL-006</t>
        </is>
      </c>
      <c r="B10" s="12" t="inlineStr">
        <is>
          <t>E23-F03</t>
        </is>
      </c>
      <c r="C10" s="13">
        <f>IFERROR(INDEX('Feature List'!$B$5:$B$10,MATCH(B10,'Feature List'!$A$5:$A$10,0)),"")</f>
        <v/>
      </c>
      <c r="D10" s="12" t="inlineStr">
        <is>
          <t>Enabler</t>
        </is>
      </c>
      <c r="E10" s="13" t="inlineStr">
        <is>
          <t>Implement MHD document source / consumer and ATNA audit forwarding</t>
        </is>
      </c>
      <c r="F10" s="13" t="inlineStr">
        <is>
          <t>Test with reference implementation; audit events reach SIEM</t>
        </is>
      </c>
      <c r="G10" s="12" t="n">
        <v>13</v>
      </c>
      <c r="H10" s="12" t="inlineStr">
        <is>
          <t>H2</t>
        </is>
      </c>
      <c r="I10" s="12" t="inlineStr">
        <is>
          <t>P2</t>
        </is>
      </c>
      <c r="J10" s="13" t="inlineStr">
        <is>
          <t>Integration</t>
        </is>
      </c>
      <c r="K10" s="13" t="inlineStr">
        <is>
          <t>E16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E23-BL-007</t>
        </is>
      </c>
      <c r="B11" s="12" t="inlineStr">
        <is>
          <t>E23-F03</t>
        </is>
      </c>
      <c r="C11" s="13">
        <f>IFERROR(INDEX('Feature List'!$B$5:$B$10,MATCH(B11,'Feature List'!$A$5:$A$10,0)),"")</f>
        <v/>
      </c>
      <c r="D11" s="12" t="inlineStr">
        <is>
          <t>Enabler</t>
        </is>
      </c>
      <c r="E11" s="13" t="inlineStr">
        <is>
          <t>Implement PIXm / PDQm identity cross-referencing with the HRIS employee identity</t>
        </is>
      </c>
      <c r="F11" s="13" t="inlineStr">
        <is>
          <t>Identity matches reviewed; no automatic merge without clinician confirmation</t>
        </is>
      </c>
      <c r="G11" s="12" t="n">
        <v>8</v>
      </c>
      <c r="H11" s="12" t="inlineStr">
        <is>
          <t>H3</t>
        </is>
      </c>
      <c r="I11" s="12" t="inlineStr">
        <is>
          <t>P3</t>
        </is>
      </c>
      <c r="J11" s="13" t="inlineStr">
        <is>
          <t>Integration</t>
        </is>
      </c>
      <c r="K11" s="13" t="inlineStr">
        <is>
          <t>E15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E23-BL-008</t>
        </is>
      </c>
      <c r="B12" s="12" t="inlineStr">
        <is>
          <t>E23-F04</t>
        </is>
      </c>
      <c r="C12" s="13">
        <f>IFERROR(INDEX('Feature List'!$B$5:$B$10,MATCH(B12,'Feature List'!$A$5:$A$10,0)),"")</f>
        <v/>
      </c>
      <c r="D12" s="12" t="inlineStr">
        <is>
          <t>Enabler</t>
        </is>
      </c>
      <c r="E12" s="13" t="inlineStr">
        <is>
          <t>Managed HL7 v2 interface capability with mapping, ACK / NACK, replay and monitoring</t>
        </is>
      </c>
      <c r="F12" s="13" t="inlineStr">
        <is>
          <t>Live ORU flow from one laboratory; replay tested; dashboards</t>
        </is>
      </c>
      <c r="G12" s="12" t="n">
        <v>13</v>
      </c>
      <c r="H12" s="12" t="inlineStr">
        <is>
          <t>H2</t>
        </is>
      </c>
      <c r="I12" s="12" t="inlineStr">
        <is>
          <t>P1</t>
        </is>
      </c>
      <c r="J12" s="13" t="inlineStr">
        <is>
          <t>Integration</t>
        </is>
      </c>
      <c r="K12" s="13" t="inlineStr">
        <is>
          <t>E15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E23-BL-009</t>
        </is>
      </c>
      <c r="B13" s="12" t="inlineStr">
        <is>
          <t>E23-F05</t>
        </is>
      </c>
      <c r="C13" s="13">
        <f>IFERROR(INDEX('Feature List'!$B$5:$B$10,MATCH(B13,'Feature List'!$A$5:$A$10,0)),"")</f>
        <v/>
      </c>
      <c r="D13" s="12" t="inlineStr">
        <is>
          <t>Task</t>
        </is>
      </c>
      <c r="E13" s="13" t="inlineStr">
        <is>
          <t>Procure terminology licences and load national editions; write the update runbook</t>
        </is>
      </c>
      <c r="F13" s="13" t="inlineStr">
        <is>
          <t>Licences on file per environment; runbook tested with one release</t>
        </is>
      </c>
      <c r="G13" s="12" t="n">
        <v>5</v>
      </c>
      <c r="H13" s="12" t="inlineStr">
        <is>
          <t>H1</t>
        </is>
      </c>
      <c r="I13" s="12" t="inlineStr">
        <is>
          <t>P1</t>
        </is>
      </c>
      <c r="J13" s="13" t="inlineStr">
        <is>
          <t>Product Owner; Integration</t>
        </is>
      </c>
      <c r="K13" s="13" t="inlineStr">
        <is>
          <t>–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E23-BL-010</t>
        </is>
      </c>
      <c r="B14" s="12" t="inlineStr">
        <is>
          <t>E23-F05</t>
        </is>
      </c>
      <c r="C14" s="13">
        <f>IFERROR(INDEX('Feature List'!$B$5:$B$10,MATCH(B14,'Feature List'!$A$5:$A$10,0)),"")</f>
        <v/>
      </c>
      <c r="D14" s="12" t="inlineStr">
        <is>
          <t>Enabler</t>
        </is>
      </c>
      <c r="E14" s="13" t="inlineStr">
        <is>
          <t>Connect the terminology registry to a terminology server and value-set management</t>
        </is>
      </c>
      <c r="F14" s="13" t="inlineStr">
        <is>
          <t>Search ≤ 300 ms at load; value sets versioned</t>
        </is>
      </c>
      <c r="G14" s="12" t="n">
        <v>8</v>
      </c>
      <c r="H14" s="12" t="inlineStr">
        <is>
          <t>H2</t>
        </is>
      </c>
      <c r="I14" s="12" t="inlineStr">
        <is>
          <t>P2</t>
        </is>
      </c>
      <c r="J14" s="13" t="inlineStr">
        <is>
          <t>Integration</t>
        </is>
      </c>
      <c r="K14" s="13" t="inlineStr">
        <is>
          <t>E18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E23-BL-011</t>
        </is>
      </c>
      <c r="B15" s="12" t="inlineStr">
        <is>
          <t>E23-F06</t>
        </is>
      </c>
      <c r="C15" s="13">
        <f>IFERROR(INDEX('Feature List'!$B$5:$B$10,MATCH(B15,'Feature List'!$A$5:$A$10,0)),"")</f>
        <v/>
      </c>
      <c r="D15" s="12" t="inlineStr">
        <is>
          <t>Story</t>
        </is>
      </c>
      <c r="E15" s="13" t="inlineStr">
        <is>
          <t>As an OH physician I want to retrieve a consented summary from the national exchange so that I avoid repeating tests</t>
        </is>
      </c>
      <c r="F15" s="13" t="inlineStr">
        <is>
          <t>Explicit consent per query; disclosure log entry; pilot with one exchange</t>
        </is>
      </c>
      <c r="G15" s="12" t="n">
        <v>13</v>
      </c>
      <c r="H15" s="12" t="inlineStr">
        <is>
          <t>H3</t>
        </is>
      </c>
      <c r="I15" s="12" t="inlineStr">
        <is>
          <t>P3</t>
        </is>
      </c>
      <c r="J15" s="13" t="inlineStr">
        <is>
          <t>Integration; Clinical SME (OH Nurse / Physician)</t>
        </is>
      </c>
      <c r="K15" s="13" t="inlineStr">
        <is>
          <t>E16</t>
        </is>
      </c>
      <c r="L15" s="16" t="n"/>
      <c r="M15" s="12" t="inlineStr">
        <is>
          <t>Not started</t>
        </is>
      </c>
      <c r="N15" s="15" t="n"/>
      <c r="O15" s="14" t="n"/>
    </row>
    <row r="16" ht="40.8" customHeight="1">
      <c r="A16" s="12" t="inlineStr">
        <is>
          <t>E23-BL-012</t>
        </is>
      </c>
      <c r="B16" s="12" t="inlineStr">
        <is>
          <t>E23-F01</t>
        </is>
      </c>
      <c r="C16" s="13">
        <f>IFERROR(INDEX('Feature List'!$B$5:$B$10,MATCH(B16,'Feature List'!$A$5:$A$10,0)),"")</f>
        <v/>
      </c>
      <c r="D16" s="12" t="inlineStr">
        <is>
          <t>Story</t>
        </is>
      </c>
      <c r="E16" s="13" t="inlineStr">
        <is>
          <t>As an integration lead I want a partner onboarding kit (sandbox, test data, certificates, checklist) so that a new FHIR partner goes live in ≤ 4 weeks</t>
        </is>
      </c>
      <c r="F16" s="13" t="inlineStr">
        <is>
          <t>Kit published; second partner onboarded within 4 weeks</t>
        </is>
      </c>
      <c r="G16" s="12" t="n">
        <v>5</v>
      </c>
      <c r="H16" s="12" t="inlineStr">
        <is>
          <t>H2</t>
        </is>
      </c>
      <c r="I16" s="12" t="inlineStr">
        <is>
          <t>P2</t>
        </is>
      </c>
      <c r="J16" s="13" t="inlineStr">
        <is>
          <t>Integration</t>
        </is>
      </c>
      <c r="K16" s="13" t="inlineStr">
        <is>
          <t>E29</t>
        </is>
      </c>
      <c r="L16" s="16" t="n"/>
      <c r="M16" s="12" t="inlineStr">
        <is>
          <t>Not started</t>
        </is>
      </c>
      <c r="N16" s="15" t="n"/>
      <c r="O16" s="14" t="n"/>
    </row>
    <row r="18">
      <c r="E18" s="17" t="inlineStr">
        <is>
          <t>Total story points (indicative)</t>
        </is>
      </c>
      <c r="G18" s="18">
        <f>SUM(G5:G16)</f>
        <v/>
      </c>
    </row>
    <row r="19">
      <c r="E19" s="17" t="inlineStr">
        <is>
          <t>Items</t>
        </is>
      </c>
      <c r="G19" s="18">
        <f>COUNTA(A5:A16)</f>
        <v/>
      </c>
    </row>
  </sheetData>
  <autoFilter ref="A4:O16"/>
  <mergeCells count="3">
    <mergeCell ref="A1:O1"/>
    <mergeCell ref="A3:O3"/>
    <mergeCell ref="A2:O2"/>
  </mergeCells>
  <conditionalFormatting sqref="I5:I16">
    <cfRule type="cellIs" priority="1" operator="equal" dxfId="0">
      <formula>"P1"</formula>
    </cfRule>
  </conditionalFormatting>
  <dataValidations count="5">
    <dataValidation sqref="M5:M16" showDropDown="0" showInputMessage="0" showErrorMessage="0" allowBlank="1" type="list">
      <formula1>"Not started,In analysis,Ready,In progress,Done,Deferred"</formula1>
    </dataValidation>
    <dataValidation sqref="N5:N16" showDropDown="0" showInputMessage="0" showErrorMessage="0" allowBlank="1" type="list">
      <formula1>"Accept,Modify,Reject,Defer"</formula1>
    </dataValidation>
    <dataValidation sqref="H5:H16" showDropDown="0" showInputMessage="0" showErrorMessage="0" allowBlank="1" type="list">
      <formula1>"H1,H2,H3"</formula1>
    </dataValidation>
    <dataValidation sqref="I5:I16" showDropDown="0" showInputMessage="0" showErrorMessage="0" allowBlank="1" type="list">
      <formula1>"P1,P2,P3"</formula1>
    </dataValidation>
    <dataValidation sqref="D5:D16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E23 – Interoperability Hub (FHIR, IHE, HL7 v2, national records)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