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Requirements'!$A$4:$H$9</definedName>
    <definedName name="_xlnm.Print_Titles" localSheetId="1">'High-Level Requirements'!$4:$4</definedName>
    <definedName name="_xlnm._FilterDatabase" localSheetId="2" hidden="1">'Feature List'!$A$4:$J$9</definedName>
    <definedName name="_xlnm.Print_Titles" localSheetId="2">'Feature List'!$4:$4</definedName>
    <definedName name="_xlnm._FilterDatabase" localSheetId="3" hidden="1">'Implementation Backlog'!$A$4:$O$14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E31 – Employee Wellbeing Marketplace &amp; Benefits Integration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E31</t>
        </is>
      </c>
    </row>
    <row r="6" ht="15.6" customHeight="1">
      <c r="A6" s="4" t="inlineStr">
        <is>
          <t>Epic name</t>
        </is>
      </c>
      <c r="B6" s="5" t="inlineStr">
        <is>
          <t>Employee Wellbeing Marketplace &amp; Benefits Integration</t>
        </is>
      </c>
    </row>
    <row r="7" ht="40.8" customHeight="1">
      <c r="A7" s="4" t="inlineStr">
        <is>
          <t>Goal</t>
        </is>
      </c>
      <c r="B7" s="5" t="inlineStr">
        <is>
          <t>Offer employees a curated marketplace of wellbeing services – EAP, physiotherapy, sleep, nutrition, smoking cessation, fitness and benefits-provider programmes – inside the employee app, with eligibility from the group's HR / benefits systems, consented hand-off to the vendor, and only aggregated participation and outcomes coming back; WellnessZ does not administer benefits.</t>
        </is>
      </c>
      <c r="C7" s="6" t="n"/>
    </row>
    <row r="8" ht="28.2" customHeight="1">
      <c r="A8" s="4" t="inlineStr">
        <is>
          <t>Business value</t>
        </is>
      </c>
      <c r="B8" s="5" t="inlineStr">
        <is>
          <t>Employees get one trusted front door for wellbeing; the group gets higher participation (E12 KPI ≥ 40 %), a measurable link between prevention spend and outcomes (with E26), and a standard vendor-onboarding route with DPAs and security due diligence.</t>
        </is>
      </c>
      <c r="C8" s="6" t="n"/>
    </row>
    <row r="9" ht="66" customHeight="1">
      <c r="A9" s="4" t="inlineStr">
        <is>
          <t>In scope</t>
        </is>
      </c>
      <c r="B9" s="5" t="inlineStr">
        <is>
          <t>• Marketplace catalogue in the employee app with eligibility by subsidiary, role and benefits plan
• Vendor onboarding: DPA, security due diligence, API contract, content review
• Consented hand-off (deep link / referral token) and aggregate participation / outcome return
• Links from OH pathways (e.g. MSK case → physiotherapy offer) without sharing clinical data
• Spend and outcome analytics with suppression (via E26)</t>
        </is>
      </c>
      <c r="C9" s="6" t="n"/>
    </row>
    <row r="10" ht="40.8" customHeight="1">
      <c r="A10" s="4" t="inlineStr">
        <is>
          <t>Out of scope</t>
        </is>
      </c>
      <c r="B10" s="5" t="inlineStr">
        <is>
          <t>• Benefits / gym administration and payroll deductions (client E12 out of scope)
• Vendor service delivery
• Sharing any OH record data with vendors</t>
        </is>
      </c>
      <c r="C10" s="6" t="n"/>
    </row>
    <row r="11" ht="15.6" customHeight="1">
      <c r="A11" s="4" t="inlineStr">
        <is>
          <t>Primary stakeholders / roles</t>
        </is>
      </c>
      <c r="B11" s="5" t="inlineStr">
        <is>
          <t>Health promotion lead; HR / reward; Procurement; DPO; Cyber GRC; EAP partner; Employees</t>
        </is>
      </c>
    </row>
    <row r="12" ht="66" customHeight="1">
      <c r="A12" s="4" t="inlineStr">
        <is>
          <t>Success KPIs</t>
        </is>
      </c>
      <c r="B12" s="5" t="inlineStr">
        <is>
          <t>• Campaign / programme participation ≥ 40 % by unit (E12 KPI)
• Vendor onboarding ≤ 6 weeks with DPA and security review
• Employee satisfaction with the marketplace ≥ 4 / 5
• 0 health data shared with vendors without explicit consent
• Cost per engaged employee reported quarterly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E12 Health promotion (campaign app, wearables); E13 Portal / app; E15 Integration (benefits system, vendor APIs); E16 Consent; E26 Data platform (ROI)</t>
        </is>
      </c>
      <c r="C13" s="6" t="n"/>
    </row>
    <row r="14" ht="53.4" customHeight="1">
      <c r="A14" s="4" t="inlineStr">
        <is>
          <t>Standards &amp; references</t>
        </is>
      </c>
      <c r="B14" s="5" t="inlineStr">
        <is>
          <t>• LOCAL-PDP consent and processor agreements
• ISO27001 A.5.19–A.5.22 supplier relationships
• ISO45003 wellbeing interventions
• WCAG22</t>
        </is>
      </c>
      <c r="C14" s="6" t="n"/>
    </row>
    <row r="15" ht="28.2" customHeight="1">
      <c r="A15" s="4" t="inlineStr">
        <is>
          <t>Evidence base (why now)</t>
        </is>
      </c>
      <c r="B15" s="5" t="inlineStr">
        <is>
          <t>Client E12 out of scope: 'Gym / benefits administration'; E12-F04 campaign app and wearable integration partial (no live app); EAP partner already in the partner portal; ROI metric missing (E12-F05).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H3 – Ecosystem (months 18–36)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Requirements'!A5:A9)</f>
        <v/>
      </c>
    </row>
    <row r="20" ht="15" customHeight="1">
      <c r="A20" s="8" t="inlineStr">
        <is>
          <t>Number of features</t>
        </is>
      </c>
      <c r="B20" s="9">
        <f>COUNTA('Feature List'!A5:A9)</f>
        <v/>
      </c>
    </row>
    <row r="21" ht="15" customHeight="1">
      <c r="A21" s="8" t="inlineStr">
        <is>
          <t>Number of backlog items</t>
        </is>
      </c>
      <c r="B21" s="9">
        <f>COUNTA('Implementation Backlog'!A5:A14)</f>
        <v/>
      </c>
    </row>
    <row r="22" ht="15" customHeight="1">
      <c r="A22" s="8" t="inlineStr">
        <is>
          <t>Total story points (indicative)</t>
        </is>
      </c>
      <c r="B22" s="9">
        <f>SUM('Implementation Backlog'!G5:G14)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Backlog'!H5:H14,"H1",'Implementation Backlog'!G5:G14)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Backlog'!H5:H14,"H2",'Implementation Backlog'!G5:G14)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Backlog'!H5:H14,"H3",'Implementation Backlog'!G5:G14)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Backlog'!G5:G14)/30,0)</f>
        <v/>
      </c>
    </row>
    <row r="27" ht="15" customHeight="1">
      <c r="A27" s="8" t="inlineStr">
        <is>
          <t>Must-have requirements</t>
        </is>
      </c>
      <c r="B27" s="9">
        <f>COUNTIF('High-Level Requirements'!D5:D9,"Must")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Backlog'!N5:N14)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4">
    <mergeCell ref="B13:C13"/>
    <mergeCell ref="A1:D1"/>
    <mergeCell ref="A33:C33"/>
    <mergeCell ref="B15:C15"/>
    <mergeCell ref="B7:C7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E31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35.05" customHeight="1">
      <c r="A5" s="12" t="inlineStr">
        <is>
          <t>E31-HLR-01</t>
        </is>
      </c>
      <c r="B5" s="13" t="inlineStr">
        <is>
          <t>Employees shall find wellbeing services they are eligible for in one catalogue in the employee app, with eligibility derived from HR / benefits data.</t>
        </is>
      </c>
      <c r="C5" s="13" t="inlineStr">
        <is>
          <t>One front door; less confusion and higher uptake.</t>
        </is>
      </c>
      <c r="D5" s="12" t="inlineStr">
        <is>
          <t>Should</t>
        </is>
      </c>
      <c r="E5" s="13" t="inlineStr">
        <is>
          <t>ISO45003</t>
        </is>
      </c>
      <c r="F5" s="13" t="inlineStr">
        <is>
          <t>ALL – All subsidiaries &amp; departments (group-wide)</t>
        </is>
      </c>
      <c r="G5" s="14" t="n"/>
      <c r="H5" s="15" t="n"/>
    </row>
    <row r="6" ht="35.05" customHeight="1">
      <c r="A6" s="12" t="inlineStr">
        <is>
          <t>E31-HLR-02</t>
        </is>
      </c>
      <c r="B6" s="13" t="inlineStr">
        <is>
          <t>Vendors shall be onboarded only with a DPA, a security due-diligence review and an approved integration contract.</t>
        </is>
      </c>
      <c r="C6" s="13" t="inlineStr">
        <is>
          <t>Supplier risk and special-category data.</t>
        </is>
      </c>
      <c r="D6" s="12" t="inlineStr">
        <is>
          <t>Must</t>
        </is>
      </c>
      <c r="E6" s="13" t="inlineStr">
        <is>
          <t>ISO27001; LOCAL-PDP</t>
        </is>
      </c>
      <c r="F6" s="13" t="inlineStr">
        <is>
          <t>ALL – All subsidiaries &amp; departments (group-wide)</t>
        </is>
      </c>
      <c r="G6" s="14" t="n"/>
      <c r="H6" s="15" t="n"/>
    </row>
    <row r="7" ht="35.05" customHeight="1">
      <c r="A7" s="12" t="inlineStr">
        <is>
          <t>E31-HLR-03</t>
        </is>
      </c>
      <c r="B7" s="13" t="inlineStr">
        <is>
          <t>Hand-off to a vendor shall require explicit consent and carry no OH clinical data; only aggregated participation and outcomes return.</t>
        </is>
      </c>
      <c r="C7" s="13" t="inlineStr">
        <is>
          <t>Status-only and minimum-necessary principles.</t>
        </is>
      </c>
      <c r="D7" s="12" t="inlineStr">
        <is>
          <t>Must</t>
        </is>
      </c>
      <c r="E7" s="13" t="inlineStr">
        <is>
          <t>LOCAL-PDP</t>
        </is>
      </c>
      <c r="F7" s="13" t="inlineStr">
        <is>
          <t>ALL – All subsidiaries &amp; departments (group-wide)</t>
        </is>
      </c>
      <c r="G7" s="14" t="n"/>
      <c r="H7" s="15" t="n"/>
    </row>
    <row r="8" ht="35.05" customHeight="1">
      <c r="A8" s="12" t="inlineStr">
        <is>
          <t>E31-HLR-04</t>
        </is>
      </c>
      <c r="B8" s="13" t="inlineStr">
        <is>
          <t>OH pathways may recommend marketplace services without disclosing why to the vendor.</t>
        </is>
      </c>
      <c r="C8" s="13" t="inlineStr">
        <is>
          <t>Joins care and prevention safely.</t>
        </is>
      </c>
      <c r="D8" s="12" t="inlineStr">
        <is>
          <t>Could</t>
        </is>
      </c>
      <c r="E8" s="13" t="inlineStr">
        <is>
          <t>LOCAL-PDP</t>
        </is>
      </c>
      <c r="F8" s="13" t="inlineStr">
        <is>
          <t>ALL – All subsidiaries &amp; departments (group-wide)</t>
        </is>
      </c>
      <c r="G8" s="14" t="n"/>
      <c r="H8" s="15" t="n"/>
    </row>
    <row r="9" ht="35.05" customHeight="1">
      <c r="A9" s="12" t="inlineStr">
        <is>
          <t>E31-HLR-05</t>
        </is>
      </c>
      <c r="B9" s="13" t="inlineStr">
        <is>
          <t>Programme spend and outcomes shall be reported with suppression to support ROI decisions.</t>
        </is>
      </c>
      <c r="C9" s="13" t="inlineStr">
        <is>
          <t>E12-F05 gap; value for money.</t>
        </is>
      </c>
      <c r="D9" s="12" t="inlineStr">
        <is>
          <t>Should</t>
        </is>
      </c>
      <c r="E9" s="13" t="inlineStr">
        <is>
          <t>ISO45001</t>
        </is>
      </c>
      <c r="F9" s="13" t="inlineStr">
        <is>
          <t>ALL – All subsidiaries &amp; departments (group-wide)</t>
        </is>
      </c>
      <c r="G9" s="14" t="n"/>
      <c r="H9" s="15" t="n"/>
    </row>
  </sheetData>
  <autoFilter ref="A4:H9"/>
  <mergeCells count="3">
    <mergeCell ref="A3:H3"/>
    <mergeCell ref="A2:H2"/>
    <mergeCell ref="A1:H1"/>
  </mergeCells>
  <conditionalFormatting sqref="D5:D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E31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E31-F01</t>
        </is>
      </c>
      <c r="B5" s="13" t="inlineStr">
        <is>
          <t>Marketplace catalogue</t>
        </is>
      </c>
      <c r="C5" s="13" t="inlineStr">
        <is>
          <t>Catalogue with eligibility rules, search, accessibility and language support.</t>
        </is>
      </c>
      <c r="D5" s="13" t="inlineStr">
        <is>
          <t>Employee; Health promotion lead</t>
        </is>
      </c>
      <c r="E5" s="12" t="inlineStr">
        <is>
          <t>Should</t>
        </is>
      </c>
      <c r="F5" s="13" t="inlineStr">
        <is>
          <t>E31-HLR-01</t>
        </is>
      </c>
      <c r="G5" s="13" t="inlineStr">
        <is>
          <t>Eligible services shown per employee; WCAG 2.2 AA.</t>
        </is>
      </c>
      <c r="H5" s="13" t="inlineStr">
        <is>
          <t>Content reviewed by OH.</t>
        </is>
      </c>
      <c r="I5" s="14" t="n"/>
      <c r="J5" s="15" t="n"/>
    </row>
    <row r="6" ht="35.05" customHeight="1">
      <c r="A6" s="12" t="inlineStr">
        <is>
          <t>E31-F02</t>
        </is>
      </c>
      <c r="B6" s="13" t="inlineStr">
        <is>
          <t>Vendor onboarding workflow</t>
        </is>
      </c>
      <c r="C6" s="13" t="inlineStr">
        <is>
          <t>Due-diligence checklist, DPA tracking, integration certification, periodic review.</t>
        </is>
      </c>
      <c r="D6" s="13" t="inlineStr">
        <is>
          <t>Procurement; DPO; Cyber GRC</t>
        </is>
      </c>
      <c r="E6" s="12" t="inlineStr">
        <is>
          <t>Must</t>
        </is>
      </c>
      <c r="F6" s="13" t="inlineStr">
        <is>
          <t>E31-HLR-02</t>
        </is>
      </c>
      <c r="G6" s="13" t="inlineStr">
        <is>
          <t>No vendor live without DPA and review; annual re-review.</t>
        </is>
      </c>
      <c r="H6" s="13" t="inlineStr">
        <is>
          <t>None</t>
        </is>
      </c>
      <c r="I6" s="14" t="n"/>
      <c r="J6" s="15" t="n"/>
    </row>
    <row r="7" ht="35.05" customHeight="1">
      <c r="A7" s="12" t="inlineStr">
        <is>
          <t>E31-F03</t>
        </is>
      </c>
      <c r="B7" s="13" t="inlineStr">
        <is>
          <t>Consented hand-off and aggregate return</t>
        </is>
      </c>
      <c r="C7" s="13" t="inlineStr">
        <is>
          <t>Referral token / deep link with consent; aggregate participation and outcome import.</t>
        </is>
      </c>
      <c r="D7" s="13" t="inlineStr">
        <is>
          <t>Employee; Vendor</t>
        </is>
      </c>
      <c r="E7" s="12" t="inlineStr">
        <is>
          <t>Must</t>
        </is>
      </c>
      <c r="F7" s="13" t="inlineStr">
        <is>
          <t>E31-HLR-03</t>
        </is>
      </c>
      <c r="G7" s="13" t="inlineStr">
        <is>
          <t>Consent recorded; vendor receives only identifier token and eligibility; aggregates suppressed.</t>
        </is>
      </c>
      <c r="H7" s="13" t="inlineStr">
        <is>
          <t>None</t>
        </is>
      </c>
      <c r="I7" s="14" t="n"/>
      <c r="J7" s="15" t="n"/>
    </row>
    <row r="8" ht="35.05" customHeight="1">
      <c r="A8" s="12" t="inlineStr">
        <is>
          <t>E31-F04</t>
        </is>
      </c>
      <c r="B8" s="13" t="inlineStr">
        <is>
          <t>Pathway recommendations</t>
        </is>
      </c>
      <c r="C8" s="13" t="inlineStr">
        <is>
          <t>OH clinicians or pathways suggest services; reason never shared.</t>
        </is>
      </c>
      <c r="D8" s="13" t="inlineStr">
        <is>
          <t>OH nurse; Physician</t>
        </is>
      </c>
      <c r="E8" s="12" t="inlineStr">
        <is>
          <t>Could</t>
        </is>
      </c>
      <c r="F8" s="13" t="inlineStr">
        <is>
          <t>E31-HLR-04</t>
        </is>
      </c>
      <c r="G8" s="13" t="inlineStr">
        <is>
          <t>Recommendation visible to employee only; vendor sees no reason.</t>
        </is>
      </c>
      <c r="H8" s="13" t="inlineStr">
        <is>
          <t>None</t>
        </is>
      </c>
      <c r="I8" s="14" t="n"/>
      <c r="J8" s="15" t="n"/>
    </row>
    <row r="9" ht="35.05" customHeight="1">
      <c r="A9" s="12" t="inlineStr">
        <is>
          <t>E31-F05</t>
        </is>
      </c>
      <c r="B9" s="13" t="inlineStr">
        <is>
          <t>Spend and outcome analytics</t>
        </is>
      </c>
      <c r="C9" s="13" t="inlineStr">
        <is>
          <t>Spend, participation and outcome by programme with suppression.</t>
        </is>
      </c>
      <c r="D9" s="13" t="inlineStr">
        <is>
          <t>Health promotion lead; Finance</t>
        </is>
      </c>
      <c r="E9" s="12" t="inlineStr">
        <is>
          <t>Should</t>
        </is>
      </c>
      <c r="F9" s="13" t="inlineStr">
        <is>
          <t>E31-HLR-05</t>
        </is>
      </c>
      <c r="G9" s="13" t="inlineStr">
        <is>
          <t>Quarterly report; suppression k ≥ 5.</t>
        </is>
      </c>
      <c r="H9" s="13" t="inlineStr">
        <is>
          <t>Uses E26.</t>
        </is>
      </c>
      <c r="I9" s="14" t="n"/>
      <c r="J9" s="15" t="n"/>
    </row>
  </sheetData>
  <autoFilter ref="A4:J9"/>
  <mergeCells count="3">
    <mergeCell ref="A1:J1"/>
    <mergeCell ref="A3:J3"/>
    <mergeCell ref="A2:J2"/>
  </mergeCells>
  <conditionalFormatting sqref="E5:E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E31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E31-BL-001</t>
        </is>
      </c>
      <c r="B5" s="12" t="inlineStr">
        <is>
          <t>E31-F02</t>
        </is>
      </c>
      <c r="C5" s="13">
        <f>IFERROR(INDEX('Feature List'!$B$5:$B$9,MATCH(B5,'Feature List'!$A$5:$A$9,0)),"")</f>
        <v/>
      </c>
      <c r="D5" s="12" t="inlineStr">
        <is>
          <t>Task</t>
        </is>
      </c>
      <c r="E5" s="13" t="inlineStr">
        <is>
          <t>Define the vendor due-diligence checklist, DPA template and integration certification</t>
        </is>
      </c>
      <c r="F5" s="13" t="inlineStr">
        <is>
          <t>Approved by DPO, Cyber GRC and procurement</t>
        </is>
      </c>
      <c r="G5" s="12" t="n">
        <v>3</v>
      </c>
      <c r="H5" s="12" t="inlineStr">
        <is>
          <t>H3</t>
        </is>
      </c>
      <c r="I5" s="12" t="inlineStr">
        <is>
          <t>P1</t>
        </is>
      </c>
      <c r="J5" s="13" t="inlineStr">
        <is>
          <t>Procurement; Security &amp; Privacy</t>
        </is>
      </c>
      <c r="K5" s="13" t="inlineStr">
        <is>
          <t>E19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E31-BL-002</t>
        </is>
      </c>
      <c r="B6" s="12" t="inlineStr">
        <is>
          <t>E31-F01</t>
        </is>
      </c>
      <c r="C6" s="13">
        <f>IFERROR(INDEX('Feature List'!$B$5:$B$9,MATCH(B6,'Feature List'!$A$5:$A$9,0)),"")</f>
        <v/>
      </c>
      <c r="D6" s="12" t="inlineStr">
        <is>
          <t>Story</t>
        </is>
      </c>
      <c r="E6" s="13" t="inlineStr">
        <is>
          <t>As an employee I want to browse wellbeing services I am eligible for in my language so that I can act on my health</t>
        </is>
      </c>
      <c r="F6" s="13" t="inlineStr">
        <is>
          <t>Catalogue with eligibility; ar / en; accessible</t>
        </is>
      </c>
      <c r="G6" s="12" t="n">
        <v>8</v>
      </c>
      <c r="H6" s="12" t="inlineStr">
        <is>
          <t>H3</t>
        </is>
      </c>
      <c r="I6" s="12" t="inlineStr">
        <is>
          <t>P1</t>
        </is>
      </c>
      <c r="J6" s="13" t="inlineStr">
        <is>
          <t>Frontend / UX</t>
        </is>
      </c>
      <c r="K6" s="13" t="inlineStr">
        <is>
          <t>E13, E21</t>
        </is>
      </c>
      <c r="L6" s="16" t="n"/>
      <c r="M6" s="12" t="inlineStr">
        <is>
          <t>Not started</t>
        </is>
      </c>
      <c r="N6" s="15" t="n"/>
      <c r="O6" s="14" t="n"/>
    </row>
    <row r="7" ht="23.85" customHeight="1">
      <c r="A7" s="12" t="inlineStr">
        <is>
          <t>E31-BL-003</t>
        </is>
      </c>
      <c r="B7" s="12" t="inlineStr">
        <is>
          <t>E31-F01</t>
        </is>
      </c>
      <c r="C7" s="13">
        <f>IFERROR(INDEX('Feature List'!$B$5:$B$9,MATCH(B7,'Feature List'!$A$5:$A$9,0)),"")</f>
        <v/>
      </c>
      <c r="D7" s="12" t="inlineStr">
        <is>
          <t>Enabler</t>
        </is>
      </c>
      <c r="E7" s="13" t="inlineStr">
        <is>
          <t>Eligibility service from HR / benefits data (plan, subsidiary, role)</t>
        </is>
      </c>
      <c r="F7" s="13" t="inlineStr">
        <is>
          <t>Eligibility cached with short TTL; no health data used</t>
        </is>
      </c>
      <c r="G7" s="12" t="n">
        <v>5</v>
      </c>
      <c r="H7" s="12" t="inlineStr">
        <is>
          <t>H3</t>
        </is>
      </c>
      <c r="I7" s="12" t="inlineStr">
        <is>
          <t>P1</t>
        </is>
      </c>
      <c r="J7" s="13" t="inlineStr">
        <is>
          <t>Integration</t>
        </is>
      </c>
      <c r="K7" s="13" t="inlineStr">
        <is>
          <t>E15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E31-BL-004</t>
        </is>
      </c>
      <c r="B8" s="12" t="inlineStr">
        <is>
          <t>E31-F03</t>
        </is>
      </c>
      <c r="C8" s="13">
        <f>IFERROR(INDEX('Feature List'!$B$5:$B$9,MATCH(B8,'Feature List'!$A$5:$A$9,0)),"")</f>
        <v/>
      </c>
      <c r="D8" s="12" t="inlineStr">
        <is>
          <t>Story</t>
        </is>
      </c>
      <c r="E8" s="13" t="inlineStr">
        <is>
          <t>As an employee I want to consent before I am handed to a vendor so that I control what they know</t>
        </is>
      </c>
      <c r="F8" s="13" t="inlineStr">
        <is>
          <t>Explicit consent; token only; withdrawal supported</t>
        </is>
      </c>
      <c r="G8" s="12" t="n">
        <v>5</v>
      </c>
      <c r="H8" s="12" t="inlineStr">
        <is>
          <t>H3</t>
        </is>
      </c>
      <c r="I8" s="12" t="inlineStr">
        <is>
          <t>P1</t>
        </is>
      </c>
      <c r="J8" s="13" t="inlineStr">
        <is>
          <t>Frontend / UX; Platform / Backend</t>
        </is>
      </c>
      <c r="K8" s="13" t="inlineStr">
        <is>
          <t>E16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E31-BL-005</t>
        </is>
      </c>
      <c r="B9" s="12" t="inlineStr">
        <is>
          <t>E31-F03</t>
        </is>
      </c>
      <c r="C9" s="13">
        <f>IFERROR(INDEX('Feature List'!$B$5:$B$9,MATCH(B9,'Feature List'!$A$5:$A$9,0)),"")</f>
        <v/>
      </c>
      <c r="D9" s="12" t="inlineStr">
        <is>
          <t>Enabler</t>
        </is>
      </c>
      <c r="E9" s="13" t="inlineStr">
        <is>
          <t>Aggregate participation and outcome import from vendors bound to their organisation</t>
        </is>
      </c>
      <c r="F9" s="13" t="inlineStr">
        <is>
          <t>org_scope-bound clients; aggregates only; suppression</t>
        </is>
      </c>
      <c r="G9" s="12" t="n">
        <v>5</v>
      </c>
      <c r="H9" s="12" t="inlineStr">
        <is>
          <t>H3</t>
        </is>
      </c>
      <c r="I9" s="12" t="inlineStr">
        <is>
          <t>P1</t>
        </is>
      </c>
      <c r="J9" s="13" t="inlineStr">
        <is>
          <t>Integration</t>
        </is>
      </c>
      <c r="K9" s="13" t="inlineStr">
        <is>
          <t>E15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E31-BL-006</t>
        </is>
      </c>
      <c r="B10" s="12" t="inlineStr">
        <is>
          <t>E31-F04</t>
        </is>
      </c>
      <c r="C10" s="13">
        <f>IFERROR(INDEX('Feature List'!$B$5:$B$9,MATCH(B10,'Feature List'!$A$5:$A$9,0)),"")</f>
        <v/>
      </c>
      <c r="D10" s="12" t="inlineStr">
        <is>
          <t>Story</t>
        </is>
      </c>
      <c r="E10" s="13" t="inlineStr">
        <is>
          <t>As an OH nurse I want to recommend a physiotherapy or sleep programme from the marketplace so that prevention follows the case</t>
        </is>
      </c>
      <c r="F10" s="13" t="inlineStr">
        <is>
          <t>Recommendation to employee only; vendor sees no reason</t>
        </is>
      </c>
      <c r="G10" s="12" t="n">
        <v>5</v>
      </c>
      <c r="H10" s="12" t="inlineStr">
        <is>
          <t>H3</t>
        </is>
      </c>
      <c r="I10" s="12" t="inlineStr">
        <is>
          <t>P3</t>
        </is>
      </c>
      <c r="J10" s="13" t="inlineStr">
        <is>
          <t>Platform / Backend</t>
        </is>
      </c>
      <c r="K10" s="13" t="inlineStr">
        <is>
          <t>E04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E31-BL-007</t>
        </is>
      </c>
      <c r="B11" s="12" t="inlineStr">
        <is>
          <t>E31-F05</t>
        </is>
      </c>
      <c r="C11" s="13">
        <f>IFERROR(INDEX('Feature List'!$B$5:$B$9,MATCH(B11,'Feature List'!$A$5:$A$9,0)),"")</f>
        <v/>
      </c>
      <c r="D11" s="12" t="inlineStr">
        <is>
          <t>Story</t>
        </is>
      </c>
      <c r="E11" s="13" t="inlineStr">
        <is>
          <t>As the health promotion lead I want spend and outcome per programme so that I can decide what to renew</t>
        </is>
      </c>
      <c r="F11" s="13" t="inlineStr">
        <is>
          <t>Quarterly suppressed report; finance definition</t>
        </is>
      </c>
      <c r="G11" s="12" t="n">
        <v>5</v>
      </c>
      <c r="H11" s="12" t="inlineStr">
        <is>
          <t>H3</t>
        </is>
      </c>
      <c r="I11" s="12" t="inlineStr">
        <is>
          <t>P2</t>
        </is>
      </c>
      <c r="J11" s="13" t="inlineStr">
        <is>
          <t>Data &amp; Analytics</t>
        </is>
      </c>
      <c r="K11" s="13" t="inlineStr">
        <is>
          <t>E26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E31-BL-008</t>
        </is>
      </c>
      <c r="B12" s="12" t="inlineStr">
        <is>
          <t>E31-F02</t>
        </is>
      </c>
      <c r="C12" s="13">
        <f>IFERROR(INDEX('Feature List'!$B$5:$B$9,MATCH(B12,'Feature List'!$A$5:$A$9,0)),"")</f>
        <v/>
      </c>
      <c r="D12" s="12" t="inlineStr">
        <is>
          <t>Task</t>
        </is>
      </c>
      <c r="E12" s="13" t="inlineStr">
        <is>
          <t>Onboard the first three vendors (e.g. EAP, physiotherapy, sleep) through the workflow</t>
        </is>
      </c>
      <c r="F12" s="13" t="inlineStr">
        <is>
          <t>Three vendors live with DPA and certification</t>
        </is>
      </c>
      <c r="G12" s="12" t="n">
        <v>5</v>
      </c>
      <c r="H12" s="12" t="inlineStr">
        <is>
          <t>H3</t>
        </is>
      </c>
      <c r="I12" s="12" t="inlineStr">
        <is>
          <t>P2</t>
        </is>
      </c>
      <c r="J12" s="13" t="inlineStr">
        <is>
          <t>Product Owner; Integration</t>
        </is>
      </c>
      <c r="K12" s="13" t="inlineStr">
        <is>
          <t>–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E31-BL-009</t>
        </is>
      </c>
      <c r="B13" s="12" t="inlineStr">
        <is>
          <t>E31-F01</t>
        </is>
      </c>
      <c r="C13" s="13">
        <f>IFERROR(INDEX('Feature List'!$B$5:$B$9,MATCH(B13,'Feature List'!$A$5:$A$9,0)),"")</f>
        <v/>
      </c>
      <c r="D13" s="12" t="inlineStr">
        <is>
          <t>Task</t>
        </is>
      </c>
      <c r="E13" s="13" t="inlineStr">
        <is>
          <t>Content review process for marketplace listings by OH</t>
        </is>
      </c>
      <c r="F13" s="13" t="inlineStr">
        <is>
          <t>Process approved; listings reviewed before publication</t>
        </is>
      </c>
      <c r="G13" s="12" t="n">
        <v>2</v>
      </c>
      <c r="H13" s="12" t="inlineStr">
        <is>
          <t>H3</t>
        </is>
      </c>
      <c r="I13" s="12" t="inlineStr">
        <is>
          <t>P2</t>
        </is>
      </c>
      <c r="J13" s="13" t="inlineStr">
        <is>
          <t>Clinical SME (OH Nurse / Physician)</t>
        </is>
      </c>
      <c r="K13" s="13" t="inlineStr">
        <is>
          <t>–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E31-BL-010</t>
        </is>
      </c>
      <c r="B14" s="12" t="inlineStr">
        <is>
          <t>E31-F03</t>
        </is>
      </c>
      <c r="C14" s="13">
        <f>IFERROR(INDEX('Feature List'!$B$5:$B$9,MATCH(B14,'Feature List'!$A$5:$A$9,0)),"")</f>
        <v/>
      </c>
      <c r="D14" s="12" t="inlineStr">
        <is>
          <t>Story</t>
        </is>
      </c>
      <c r="E14" s="13" t="inlineStr">
        <is>
          <t>As a DPO I want a report of vendor hand-offs and consents so that I can evidence lawful sharing</t>
        </is>
      </c>
      <c r="F14" s="13" t="inlineStr">
        <is>
          <t>Report by vendor; suppression</t>
        </is>
      </c>
      <c r="G14" s="12" t="n">
        <v>3</v>
      </c>
      <c r="H14" s="12" t="inlineStr">
        <is>
          <t>H3</t>
        </is>
      </c>
      <c r="I14" s="12" t="inlineStr">
        <is>
          <t>P2</t>
        </is>
      </c>
      <c r="J14" s="13" t="inlineStr">
        <is>
          <t>Platform / Backend</t>
        </is>
      </c>
      <c r="K14" s="13" t="inlineStr">
        <is>
          <t>E16</t>
        </is>
      </c>
      <c r="L14" s="16" t="n"/>
      <c r="M14" s="12" t="inlineStr">
        <is>
          <t>Not started</t>
        </is>
      </c>
      <c r="N14" s="15" t="n"/>
      <c r="O14" s="14" t="n"/>
    </row>
    <row r="16">
      <c r="E16" s="17" t="inlineStr">
        <is>
          <t>Total story points (indicative)</t>
        </is>
      </c>
      <c r="G16" s="18">
        <f>SUM(G5:G14)</f>
        <v/>
      </c>
    </row>
    <row r="17">
      <c r="E17" s="17" t="inlineStr">
        <is>
          <t>Items</t>
        </is>
      </c>
      <c r="G17" s="18">
        <f>COUNTA(A5:A14)</f>
        <v/>
      </c>
    </row>
  </sheetData>
  <autoFilter ref="A4:O14"/>
  <mergeCells count="3">
    <mergeCell ref="A1:O1"/>
    <mergeCell ref="A3:O3"/>
    <mergeCell ref="A2:O2"/>
  </mergeCells>
  <conditionalFormatting sqref="I5:I14">
    <cfRule type="cellIs" priority="1" operator="equal" dxfId="0">
      <formula>"P1"</formula>
    </cfRule>
  </conditionalFormatting>
  <dataValidations count="5">
    <dataValidation sqref="M5:M14" showDropDown="0" showInputMessage="0" showErrorMessage="0" allowBlank="1" type="list">
      <formula1>"Not started,In analysis,Ready,In progress,Done,Deferred"</formula1>
    </dataValidation>
    <dataValidation sqref="N5:N14" showDropDown="0" showInputMessage="0" showErrorMessage="0" allowBlank="1" type="list">
      <formula1>"Accept,Modify,Reject,Defer"</formula1>
    </dataValidation>
    <dataValidation sqref="H5:H14" showDropDown="0" showInputMessage="0" showErrorMessage="0" allowBlank="1" type="list">
      <formula1>"H1,H2,H3"</formula1>
    </dataValidation>
    <dataValidation sqref="I5:I14" showDropDown="0" showInputMessage="0" showErrorMessage="0" allowBlank="1" type="list">
      <formula1>"P1,P2,P3"</formula1>
    </dataValidation>
    <dataValidation sqref="D5:D14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E31 – Employee Wellbeing Marketplace &amp; Benefits Integration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2026-10-30T13:11:14Z</dcterms:created>
  <dcterms:modified xmlns:dcterms="http://purl.org/dc/terms/" xmlns:xsi="http://www.w3.org/2001/XMLSchema-instance" xsi:type="dcterms:W3CDTF">2026-10-30T13:11:14Z</dcterms:modified>
</cp:coreProperties>
</file>