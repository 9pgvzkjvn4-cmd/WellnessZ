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Requirements'!$A$4:$H$8</definedName>
    <definedName name="_xlnm.Print_Titles" localSheetId="1">'High-Level Requirements'!$4:$4</definedName>
    <definedName name="_xlnm._FilterDatabase" localSheetId="2" hidden="1">'Feature List'!$A$4:$J$8</definedName>
    <definedName name="_xlnm.Print_Titles" localSheetId="2">'Feature List'!$4:$4</definedName>
    <definedName name="_xlnm._FilterDatabase" localSheetId="3" hidden="1">'Implementation Backlog'!$A$4:$O$14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E30 – Workforce Health Digital Twin &amp; Capacity Planning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E30</t>
        </is>
      </c>
    </row>
    <row r="6" ht="15.6" customHeight="1">
      <c r="A6" s="4" t="inlineStr">
        <is>
          <t>Epic name</t>
        </is>
      </c>
      <c r="B6" s="5" t="inlineStr">
        <is>
          <t>Workforce Health Digital Twin &amp; Capacity Planning</t>
        </is>
      </c>
    </row>
    <row r="7" ht="53.4" customHeight="1">
      <c r="A7" s="4" t="inlineStr">
        <is>
          <t>Goal</t>
        </is>
      </c>
      <c r="B7" s="5" t="inlineStr">
        <is>
          <t>Build an aggregate, de-identified model of workforce health readiness – fit and certified crew per base and fleet versus roster need, certificate-expiry horizon, surveillance and immunisation coverage, OH clinic capacity – and use it to simulate scenarios (outbreak at a station, new route to an endemic area, fleet growth, heat season, mass vaccination) so that operations and OH plan capacity before the problem arrives.</t>
        </is>
      </c>
      <c r="C7" s="6" t="n"/>
    </row>
    <row r="8" ht="28.2" customHeight="1">
      <c r="A8" s="4" t="inlineStr">
        <is>
          <t>Business value</t>
        </is>
      </c>
      <c r="B8" s="5" t="inlineStr">
        <is>
          <t>Turns OH from reactive to predictive at the level executives care about: will we have enough fit, certified crew and ground staff, and enough clinic capacity, next quarter? Supports network planning decisions with health evidence while never exposing an individual.</t>
        </is>
      </c>
      <c r="C8" s="6" t="n"/>
    </row>
    <row r="9" ht="66" customHeight="1">
      <c r="A9" s="4" t="inlineStr">
        <is>
          <t>In scope</t>
        </is>
      </c>
      <c r="B9" s="5" t="inlineStr">
        <is>
          <t>• Aggregate readiness model per base / fleet / unit from E05, E07, E11 and roster data (suppressed)
• Clinic demand and capacity model linked to E14
• Scenario simulation engine with documented assumptions
• Executive and operations dashboards; planning exports
• Validation of forecasts against actuals</t>
        </is>
      </c>
      <c r="C9" s="6" t="n"/>
    </row>
    <row r="10" ht="28.2" customHeight="1">
      <c r="A10" s="4" t="inlineStr">
        <is>
          <t>Out of scope</t>
        </is>
      </c>
      <c r="B10" s="5" t="inlineStr">
        <is>
          <t>• Individual-level predictions (E27)
• Rostering or network optimisation (operations systems)</t>
        </is>
      </c>
      <c r="C10" s="6" t="n"/>
    </row>
    <row r="11" ht="15.6" customHeight="1">
      <c r="A11" s="4" t="inlineStr">
        <is>
          <t>Primary stakeholders / roles</t>
        </is>
      </c>
      <c r="B11" s="5" t="inlineStr">
        <is>
          <t>COO / Network planning; Crew planning; CMO; Nursing Head; Clinic managers; Data product owner; DPO</t>
        </is>
      </c>
    </row>
    <row r="12" ht="53.4" customHeight="1">
      <c r="A12" s="4" t="inlineStr">
        <is>
          <t>Success KPIs</t>
        </is>
      </c>
      <c r="B12" s="5" t="inlineStr">
        <is>
          <t>• Clinic demand forecast within ± 10 % at month level
• Crew unavailability caused by certificate expiry = 0
• Scenario analysis delivered within 1 working day of request
• Clinic utilisation ≥ 80 % (E14 KPI) with wait time ≤ 15 min</t>
        </is>
      </c>
      <c r="C12" s="6" t="n"/>
    </row>
    <row r="13" ht="28.2" customHeight="1">
      <c r="A13" s="4" t="inlineStr">
        <is>
          <t>Dependencies</t>
        </is>
      </c>
      <c r="B13" s="5" t="inlineStr">
        <is>
          <t>E26 Data platform; E27 forecasts; E14 Scheduling capacity; E07 Surveillance and certificates; E11 Immunisation; E15 rostering / network data</t>
        </is>
      </c>
      <c r="C13" s="6" t="n"/>
    </row>
    <row r="14" ht="40.8" customHeight="1">
      <c r="A14" s="4" t="inlineStr">
        <is>
          <t>Standards &amp; references</t>
        </is>
      </c>
      <c r="B14" s="5" t="inlineStr">
        <is>
          <t>• ISO45001 planning; ICAO-A6 operator responsibilities
• ISO20889 de-identification; LOCAL-PDP
• WHO-IHR preparedness</t>
        </is>
      </c>
      <c r="C14" s="6" t="n"/>
    </row>
    <row r="15" ht="40.8" customHeight="1">
      <c r="A15" s="4" t="inlineStr">
        <is>
          <t>Evidence base (why now)</t>
        </is>
      </c>
      <c r="B15" s="5" t="inlineStr">
        <is>
          <t>E14 capacity forecasting exists at clinic level; E11 tracing and campaigns exist; no cross-domain readiness view; outbreak playbook and tabletop exercise outstanding (E11-BL-013); the Tier-0 decision pack values operational disruption avoided (E07 / E05 crew) as a benefit category.</t>
        </is>
      </c>
      <c r="C15" s="6" t="n"/>
    </row>
    <row r="16" ht="15.6" customHeight="1">
      <c r="A16" s="4" t="inlineStr">
        <is>
          <t>Recommended start horizon</t>
        </is>
      </c>
      <c r="B16" s="5" t="inlineStr">
        <is>
          <t>H3 – Ecosystem (months 18–36), once E26 and E27 are live</t>
        </is>
      </c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Requirements'!A5:A8)</f>
        <v/>
      </c>
    </row>
    <row r="20" ht="15" customHeight="1">
      <c r="A20" s="8" t="inlineStr">
        <is>
          <t>Number of features</t>
        </is>
      </c>
      <c r="B20" s="9">
        <f>COUNTA('Feature List'!A5:A8)</f>
        <v/>
      </c>
    </row>
    <row r="21" ht="15" customHeight="1">
      <c r="A21" s="8" t="inlineStr">
        <is>
          <t>Number of backlog items</t>
        </is>
      </c>
      <c r="B21" s="9">
        <f>COUNTA('Implementation Backlog'!A5:A14)</f>
        <v/>
      </c>
    </row>
    <row r="22" ht="15" customHeight="1">
      <c r="A22" s="8" t="inlineStr">
        <is>
          <t>Total story points (indicative)</t>
        </is>
      </c>
      <c r="B22" s="9">
        <f>SUM('Implementation Backlog'!G5:G14)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Backlog'!H5:H14,"H1",'Implementation Backlog'!G5:G14)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Backlog'!H5:H14,"H2",'Implementation Backlog'!G5:G14)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Backlog'!H5:H14,"H3",'Implementation Backlog'!G5:G14)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Backlog'!G5:G14)/30,0)</f>
        <v/>
      </c>
    </row>
    <row r="27" ht="15" customHeight="1">
      <c r="A27" s="8" t="inlineStr">
        <is>
          <t>Must-have requirements</t>
        </is>
      </c>
      <c r="B27" s="9">
        <f>COUNTIF('High-Level Requirements'!D5:D8,"Must")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Backlog'!N5:N14)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4">
    <mergeCell ref="B13:C13"/>
    <mergeCell ref="A1:D1"/>
    <mergeCell ref="A33:C33"/>
    <mergeCell ref="B15:C15"/>
    <mergeCell ref="B7:C7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E30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66" customHeight="1">
      <c r="A5" s="12" t="inlineStr">
        <is>
          <t>E30-HLR-01</t>
        </is>
      </c>
      <c r="B5" s="13" t="inlineStr">
        <is>
          <t>The platform shall compute aggregate health-readiness indicators per base, fleet and unit (fit, certified, restricted, due) with suppression.</t>
        </is>
      </c>
      <c r="C5" s="13" t="inlineStr">
        <is>
          <t>Executive and planning view without individual exposure.</t>
        </is>
      </c>
      <c r="D5" s="12" t="inlineStr">
        <is>
          <t>Must</t>
        </is>
      </c>
      <c r="E5" s="13" t="inlineStr">
        <is>
          <t>ISO45001; LOCAL-PDP</t>
        </is>
      </c>
      <c r="F5" s="13" t="inlineStr">
        <is>
          <t>FLT – Flight Operations; CAB – Cabin Services; GND – Ground Services; CGO – Cargo &amp; Freight; CAT – Catering; ENG – Engineering &amp; Maintenance; SEC – Security, Fire &amp; Rescue</t>
        </is>
      </c>
      <c r="G5" s="14" t="n"/>
      <c r="H5" s="15" t="n"/>
    </row>
    <row r="6" ht="35.05" customHeight="1">
      <c r="A6" s="12" t="inlineStr">
        <is>
          <t>E30-HLR-02</t>
        </is>
      </c>
      <c r="B6" s="13" t="inlineStr">
        <is>
          <t>OH clinic demand and capacity shall be forecast from surveillance due lists, campaigns, case trends and seasonality.</t>
        </is>
      </c>
      <c r="C6" s="13" t="inlineStr">
        <is>
          <t>Prevents backlogs that cause certificate lapses.</t>
        </is>
      </c>
      <c r="D6" s="12" t="inlineStr">
        <is>
          <t>Must</t>
        </is>
      </c>
      <c r="E6" s="13" t="inlineStr">
        <is>
          <t>ISO45001</t>
        </is>
      </c>
      <c r="F6" s="13" t="inlineStr">
        <is>
          <t>ALL – All subsidiaries &amp; departments (group-wide)</t>
        </is>
      </c>
      <c r="G6" s="14" t="n"/>
      <c r="H6" s="15" t="n"/>
    </row>
    <row r="7" ht="35.05" customHeight="1">
      <c r="A7" s="12" t="inlineStr">
        <is>
          <t>E30-HLR-03</t>
        </is>
      </c>
      <c r="B7" s="13" t="inlineStr">
        <is>
          <t>Planners shall be able to simulate scenarios (outbreak, new destination, fleet growth, heat season, mass vaccination) with explicit assumptions.</t>
        </is>
      </c>
      <c r="C7" s="13" t="inlineStr">
        <is>
          <t>Preparedness for health events with operational impact.</t>
        </is>
      </c>
      <c r="D7" s="12" t="inlineStr">
        <is>
          <t>Should</t>
        </is>
      </c>
      <c r="E7" s="13" t="inlineStr">
        <is>
          <t>WHO-IHR; ICAO-A6</t>
        </is>
      </c>
      <c r="F7" s="13" t="inlineStr">
        <is>
          <t>ALL – All subsidiaries &amp; departments (group-wide)</t>
        </is>
      </c>
      <c r="G7" s="14" t="n"/>
      <c r="H7" s="15" t="n"/>
    </row>
    <row r="8" ht="35.05" customHeight="1">
      <c r="A8" s="12" t="inlineStr">
        <is>
          <t>E30-HLR-04</t>
        </is>
      </c>
      <c r="B8" s="13" t="inlineStr">
        <is>
          <t>Forecasts shall be validated against actuals and the error published with every forecast.</t>
        </is>
      </c>
      <c r="C8" s="13" t="inlineStr">
        <is>
          <t>Trust in the model.</t>
        </is>
      </c>
      <c r="D8" s="12" t="inlineStr">
        <is>
          <t>Must</t>
        </is>
      </c>
      <c r="E8" s="13" t="inlineStr">
        <is>
          <t>ISO23894</t>
        </is>
      </c>
      <c r="F8" s="13" t="inlineStr">
        <is>
          <t>ALL – All subsidiaries &amp; departments (group-wide)</t>
        </is>
      </c>
      <c r="G8" s="14" t="n"/>
      <c r="H8" s="15" t="n"/>
    </row>
  </sheetData>
  <autoFilter ref="A4:H8"/>
  <mergeCells count="3">
    <mergeCell ref="A3:H3"/>
    <mergeCell ref="A2:H2"/>
    <mergeCell ref="A1:H1"/>
  </mergeCells>
  <conditionalFormatting sqref="D5:D8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8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E30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35.05" customHeight="1">
      <c r="A5" s="12" t="inlineStr">
        <is>
          <t>E30-F01</t>
        </is>
      </c>
      <c r="B5" s="13" t="inlineStr">
        <is>
          <t>Aggregate readiness model</t>
        </is>
      </c>
      <c r="C5" s="13" t="inlineStr">
        <is>
          <t>Readiness indicators per base / fleet / unit from status data, suppressed.</t>
        </is>
      </c>
      <c r="D5" s="13" t="inlineStr">
        <is>
          <t>Crew planning; CMO</t>
        </is>
      </c>
      <c r="E5" s="12" t="inlineStr">
        <is>
          <t>Must</t>
        </is>
      </c>
      <c r="F5" s="13" t="inlineStr">
        <is>
          <t>E30-HLR-01</t>
        </is>
      </c>
      <c r="G5" s="13" t="inlineStr">
        <is>
          <t>Indicators refreshed daily; suppression k ≥ 5.</t>
        </is>
      </c>
      <c r="H5" s="13" t="inlineStr">
        <is>
          <t>Status data only.</t>
        </is>
      </c>
      <c r="I5" s="14" t="n"/>
      <c r="J5" s="15" t="n"/>
    </row>
    <row r="6" ht="35.05" customHeight="1">
      <c r="A6" s="12" t="inlineStr">
        <is>
          <t>E30-F02</t>
        </is>
      </c>
      <c r="B6" s="13" t="inlineStr">
        <is>
          <t>Clinic demand and capacity forecast</t>
        </is>
      </c>
      <c r="C6" s="13" t="inlineStr">
        <is>
          <t>Forecast feeding E14 capacity planning and staffing.</t>
        </is>
      </c>
      <c r="D6" s="13" t="inlineStr">
        <is>
          <t>Clinic managers; Nursing Head</t>
        </is>
      </c>
      <c r="E6" s="12" t="inlineStr">
        <is>
          <t>Must</t>
        </is>
      </c>
      <c r="F6" s="13" t="inlineStr">
        <is>
          <t>E30-HLR-02</t>
        </is>
      </c>
      <c r="G6" s="13" t="inlineStr">
        <is>
          <t>Forecast error ± 10 % monthly after two quarters.</t>
        </is>
      </c>
      <c r="H6" s="13" t="inlineStr">
        <is>
          <t>None</t>
        </is>
      </c>
      <c r="I6" s="14" t="n"/>
      <c r="J6" s="15" t="n"/>
    </row>
    <row r="7" ht="35.05" customHeight="1">
      <c r="A7" s="12" t="inlineStr">
        <is>
          <t>E30-F03</t>
        </is>
      </c>
      <c r="B7" s="13" t="inlineStr">
        <is>
          <t>Scenario simulation</t>
        </is>
      </c>
      <c r="C7" s="13" t="inlineStr">
        <is>
          <t>Scenario engine with templates and documented assumptions; comparison view.</t>
        </is>
      </c>
      <c r="D7" s="13" t="inlineStr">
        <is>
          <t>Network planning; CMO</t>
        </is>
      </c>
      <c r="E7" s="12" t="inlineStr">
        <is>
          <t>Should</t>
        </is>
      </c>
      <c r="F7" s="13" t="inlineStr">
        <is>
          <t>E30-HLR-03</t>
        </is>
      </c>
      <c r="G7" s="13" t="inlineStr">
        <is>
          <t>Five scenario templates; results within 1 working day.</t>
        </is>
      </c>
      <c r="H7" s="13" t="inlineStr">
        <is>
          <t>Used in the outbreak tabletop.</t>
        </is>
      </c>
      <c r="I7" s="14" t="n"/>
      <c r="J7" s="15" t="n"/>
    </row>
    <row r="8" ht="35.05" customHeight="1">
      <c r="A8" s="12" t="inlineStr">
        <is>
          <t>E30-F04</t>
        </is>
      </c>
      <c r="B8" s="13" t="inlineStr">
        <is>
          <t>Forecast validation and dashboards</t>
        </is>
      </c>
      <c r="C8" s="13" t="inlineStr">
        <is>
          <t>Back-testing, error reporting, executive dashboard.</t>
        </is>
      </c>
      <c r="D8" s="13" t="inlineStr">
        <is>
          <t>Data product owner</t>
        </is>
      </c>
      <c r="E8" s="12" t="inlineStr">
        <is>
          <t>Must</t>
        </is>
      </c>
      <c r="F8" s="13" t="inlineStr">
        <is>
          <t>E30-HLR-04</t>
        </is>
      </c>
      <c r="G8" s="13" t="inlineStr">
        <is>
          <t>Error shown with each forecast; monthly validation report.</t>
        </is>
      </c>
      <c r="H8" s="13" t="inlineStr">
        <is>
          <t>None</t>
        </is>
      </c>
      <c r="I8" s="14" t="n"/>
      <c r="J8" s="15" t="n"/>
    </row>
  </sheetData>
  <autoFilter ref="A4:J8"/>
  <mergeCells count="3">
    <mergeCell ref="A1:J1"/>
    <mergeCell ref="A3:J3"/>
    <mergeCell ref="A2:J2"/>
  </mergeCells>
  <conditionalFormatting sqref="E5:E8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8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E30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E30-BL-001</t>
        </is>
      </c>
      <c r="B5" s="12" t="inlineStr">
        <is>
          <t>E30-F01</t>
        </is>
      </c>
      <c r="C5" s="13">
        <f>IFERROR(INDEX('Feature List'!$B$5:$B$8,MATCH(B5,'Feature List'!$A$5:$A$8,0)),"")</f>
        <v/>
      </c>
      <c r="D5" s="12" t="inlineStr">
        <is>
          <t>Enabler</t>
        </is>
      </c>
      <c r="E5" s="13" t="inlineStr">
        <is>
          <t>Readiness data model from fitness, certificate, surveillance and immunisation statuses joined to roster need</t>
        </is>
      </c>
      <c r="F5" s="13" t="inlineStr">
        <is>
          <t>Model documented; suppressed indicators per base / fleet</t>
        </is>
      </c>
      <c r="G5" s="12" t="n">
        <v>8</v>
      </c>
      <c r="H5" s="12" t="inlineStr">
        <is>
          <t>H3</t>
        </is>
      </c>
      <c r="I5" s="12" t="inlineStr">
        <is>
          <t>P1</t>
        </is>
      </c>
      <c r="J5" s="13" t="inlineStr">
        <is>
          <t>Data &amp; Analytics</t>
        </is>
      </c>
      <c r="K5" s="13" t="inlineStr">
        <is>
          <t>E26</t>
        </is>
      </c>
      <c r="L5" s="16" t="n"/>
      <c r="M5" s="12" t="inlineStr">
        <is>
          <t>Not started</t>
        </is>
      </c>
      <c r="N5" s="15" t="n"/>
      <c r="O5" s="14" t="n"/>
    </row>
    <row r="6" ht="28.2" customHeight="1">
      <c r="A6" s="12" t="inlineStr">
        <is>
          <t>E30-BL-002</t>
        </is>
      </c>
      <c r="B6" s="12" t="inlineStr">
        <is>
          <t>E30-F01</t>
        </is>
      </c>
      <c r="C6" s="13">
        <f>IFERROR(INDEX('Feature List'!$B$5:$B$8,MATCH(B6,'Feature List'!$A$5:$A$8,0)),"")</f>
        <v/>
      </c>
      <c r="D6" s="12" t="inlineStr">
        <is>
          <t>Story</t>
        </is>
      </c>
      <c r="E6" s="13" t="inlineStr">
        <is>
          <t>As crew planning I want certified-crew readiness per base for the next 90 days so that expiries never ground a rotation</t>
        </is>
      </c>
      <c r="F6" s="13" t="inlineStr">
        <is>
          <t>90-day horizon; status only; suppression</t>
        </is>
      </c>
      <c r="G6" s="12" t="n">
        <v>8</v>
      </c>
      <c r="H6" s="12" t="inlineStr">
        <is>
          <t>H3</t>
        </is>
      </c>
      <c r="I6" s="12" t="inlineStr">
        <is>
          <t>P1</t>
        </is>
      </c>
      <c r="J6" s="13" t="inlineStr">
        <is>
          <t>Data &amp; Analytics</t>
        </is>
      </c>
      <c r="K6" s="13" t="inlineStr">
        <is>
          <t>E07, E24</t>
        </is>
      </c>
      <c r="L6" s="16" t="n"/>
      <c r="M6" s="12" t="inlineStr">
        <is>
          <t>Not started</t>
        </is>
      </c>
      <c r="N6" s="15" t="n"/>
      <c r="O6" s="14" t="n"/>
    </row>
    <row r="7" ht="28.2" customHeight="1">
      <c r="A7" s="12" t="inlineStr">
        <is>
          <t>E30-BL-003</t>
        </is>
      </c>
      <c r="B7" s="12" t="inlineStr">
        <is>
          <t>E30-F02</t>
        </is>
      </c>
      <c r="C7" s="13">
        <f>IFERROR(INDEX('Feature List'!$B$5:$B$8,MATCH(B7,'Feature List'!$A$5:$A$8,0)),"")</f>
        <v/>
      </c>
      <c r="D7" s="12" t="inlineStr">
        <is>
          <t>Story</t>
        </is>
      </c>
      <c r="E7" s="13" t="inlineStr">
        <is>
          <t>As a clinic manager I want a monthly demand forecast by service so that I staff clinics ahead of surveillance peaks</t>
        </is>
      </c>
      <c r="F7" s="13" t="inlineStr">
        <is>
          <t>Forecast by service and site; error shown</t>
        </is>
      </c>
      <c r="G7" s="12" t="n">
        <v>8</v>
      </c>
      <c r="H7" s="12" t="inlineStr">
        <is>
          <t>H3</t>
        </is>
      </c>
      <c r="I7" s="12" t="inlineStr">
        <is>
          <t>P1</t>
        </is>
      </c>
      <c r="J7" s="13" t="inlineStr">
        <is>
          <t>Data &amp; Analytics</t>
        </is>
      </c>
      <c r="K7" s="13" t="inlineStr">
        <is>
          <t>E14, E27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E30-BL-004</t>
        </is>
      </c>
      <c r="B8" s="12" t="inlineStr">
        <is>
          <t>E30-F02</t>
        </is>
      </c>
      <c r="C8" s="13">
        <f>IFERROR(INDEX('Feature List'!$B$5:$B$8,MATCH(B8,'Feature List'!$A$5:$A$8,0)),"")</f>
        <v/>
      </c>
      <c r="D8" s="12" t="inlineStr">
        <is>
          <t>Story</t>
        </is>
      </c>
      <c r="E8" s="13" t="inlineStr">
        <is>
          <t>As the Nursing Head I want staffing recommendations from the forecast</t>
        </is>
      </c>
      <c r="F8" s="13" t="inlineStr">
        <is>
          <t>Recommended sessions per site; manual override</t>
        </is>
      </c>
      <c r="G8" s="12" t="n">
        <v>5</v>
      </c>
      <c r="H8" s="12" t="inlineStr">
        <is>
          <t>H3</t>
        </is>
      </c>
      <c r="I8" s="12" t="inlineStr">
        <is>
          <t>P2</t>
        </is>
      </c>
      <c r="J8" s="13" t="inlineStr">
        <is>
          <t>Data &amp; Analytics; Frontend / UX</t>
        </is>
      </c>
      <c r="K8" s="13" t="inlineStr">
        <is>
          <t>E14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E30-BL-005</t>
        </is>
      </c>
      <c r="B9" s="12" t="inlineStr">
        <is>
          <t>E30-F03</t>
        </is>
      </c>
      <c r="C9" s="13">
        <f>IFERROR(INDEX('Feature List'!$B$5:$B$8,MATCH(B9,'Feature List'!$A$5:$A$8,0)),"")</f>
        <v/>
      </c>
      <c r="D9" s="12" t="inlineStr">
        <is>
          <t>Enabler</t>
        </is>
      </c>
      <c r="E9" s="13" t="inlineStr">
        <is>
          <t>Scenario engine with parameterised templates (outbreak, destination, growth, heat, vaccination)</t>
        </is>
      </c>
      <c r="F9" s="13" t="inlineStr">
        <is>
          <t>Five templates; assumptions recorded with results</t>
        </is>
      </c>
      <c r="G9" s="12" t="n">
        <v>13</v>
      </c>
      <c r="H9" s="12" t="inlineStr">
        <is>
          <t>H3</t>
        </is>
      </c>
      <c r="I9" s="12" t="inlineStr">
        <is>
          <t>P2</t>
        </is>
      </c>
      <c r="J9" s="13" t="inlineStr">
        <is>
          <t>Data &amp; Analytics</t>
        </is>
      </c>
      <c r="K9" s="13" t="inlineStr">
        <is>
          <t>–</t>
        </is>
      </c>
      <c r="L9" s="16" t="n"/>
      <c r="M9" s="12" t="inlineStr">
        <is>
          <t>Not started</t>
        </is>
      </c>
      <c r="N9" s="15" t="n"/>
      <c r="O9" s="14" t="n"/>
    </row>
    <row r="10" ht="28.2" customHeight="1">
      <c r="A10" s="12" t="inlineStr">
        <is>
          <t>E30-BL-006</t>
        </is>
      </c>
      <c r="B10" s="12" t="inlineStr">
        <is>
          <t>E30-F03</t>
        </is>
      </c>
      <c r="C10" s="13">
        <f>IFERROR(INDEX('Feature List'!$B$5:$B$8,MATCH(B10,'Feature List'!$A$5:$A$8,0)),"")</f>
        <v/>
      </c>
      <c r="D10" s="12" t="inlineStr">
        <is>
          <t>Task</t>
        </is>
      </c>
      <c r="E10" s="13" t="inlineStr">
        <is>
          <t>Use the scenario engine in the outbreak tabletop exercise (E11-BL-013)</t>
        </is>
      </c>
      <c r="F10" s="13" t="inlineStr">
        <is>
          <t>Exercise report with lessons learned</t>
        </is>
      </c>
      <c r="G10" s="12" t="n">
        <v>2</v>
      </c>
      <c r="H10" s="12" t="inlineStr">
        <is>
          <t>H3</t>
        </is>
      </c>
      <c r="I10" s="12" t="inlineStr">
        <is>
          <t>P2</t>
        </is>
      </c>
      <c r="J10" s="13" t="inlineStr">
        <is>
          <t>Clinical SME (OH Nurse / Physician); Change &amp; Training</t>
        </is>
      </c>
      <c r="K10" s="13" t="inlineStr">
        <is>
          <t>E11</t>
        </is>
      </c>
      <c r="L10" s="16" t="n"/>
      <c r="M10" s="12" t="inlineStr">
        <is>
          <t>Not started</t>
        </is>
      </c>
      <c r="N10" s="15" t="n"/>
      <c r="O10" s="14" t="n"/>
    </row>
    <row r="11" ht="28.2" customHeight="1">
      <c r="A11" s="12" t="inlineStr">
        <is>
          <t>E30-BL-007</t>
        </is>
      </c>
      <c r="B11" s="12" t="inlineStr">
        <is>
          <t>E30-F04</t>
        </is>
      </c>
      <c r="C11" s="13">
        <f>IFERROR(INDEX('Feature List'!$B$5:$B$8,MATCH(B11,'Feature List'!$A$5:$A$8,0)),"")</f>
        <v/>
      </c>
      <c r="D11" s="12" t="inlineStr">
        <is>
          <t>Enabler</t>
        </is>
      </c>
      <c r="E11" s="13" t="inlineStr">
        <is>
          <t>Back-testing and forecast error reporting</t>
        </is>
      </c>
      <c r="F11" s="13" t="inlineStr">
        <is>
          <t>Monthly validation report; error displayed on dashboards</t>
        </is>
      </c>
      <c r="G11" s="12" t="n">
        <v>5</v>
      </c>
      <c r="H11" s="12" t="inlineStr">
        <is>
          <t>H3</t>
        </is>
      </c>
      <c r="I11" s="12" t="inlineStr">
        <is>
          <t>P1</t>
        </is>
      </c>
      <c r="J11" s="13" t="inlineStr">
        <is>
          <t>Data &amp; Analytics</t>
        </is>
      </c>
      <c r="K11" s="13" t="inlineStr">
        <is>
          <t>–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E30-BL-008</t>
        </is>
      </c>
      <c r="B12" s="12" t="inlineStr">
        <is>
          <t>E30-F04</t>
        </is>
      </c>
      <c r="C12" s="13">
        <f>IFERROR(INDEX('Feature List'!$B$5:$B$8,MATCH(B12,'Feature List'!$A$5:$A$8,0)),"")</f>
        <v/>
      </c>
      <c r="D12" s="12" t="inlineStr">
        <is>
          <t>Story</t>
        </is>
      </c>
      <c r="E12" s="13" t="inlineStr">
        <is>
          <t>As the COO I want an executive readiness dashboard so that network decisions consider workforce health</t>
        </is>
      </c>
      <c r="F12" s="13" t="inlineStr">
        <is>
          <t>Dashboard with suppressed indicators and scenario comparison</t>
        </is>
      </c>
      <c r="G12" s="12" t="n">
        <v>5</v>
      </c>
      <c r="H12" s="12" t="inlineStr">
        <is>
          <t>H3</t>
        </is>
      </c>
      <c r="I12" s="12" t="inlineStr">
        <is>
          <t>P2</t>
        </is>
      </c>
      <c r="J12" s="13" t="inlineStr">
        <is>
          <t>Data &amp; Analytics; Frontend / UX</t>
        </is>
      </c>
      <c r="K12" s="13" t="inlineStr">
        <is>
          <t>E26</t>
        </is>
      </c>
      <c r="L12" s="16" t="n"/>
      <c r="M12" s="12" t="inlineStr">
        <is>
          <t>Not started</t>
        </is>
      </c>
      <c r="N12" s="15" t="n"/>
      <c r="O12" s="14" t="n"/>
    </row>
    <row r="13" ht="23.85" customHeight="1">
      <c r="A13" s="12" t="inlineStr">
        <is>
          <t>E30-BL-009</t>
        </is>
      </c>
      <c r="B13" s="12" t="inlineStr">
        <is>
          <t>E30-F01</t>
        </is>
      </c>
      <c r="C13" s="13">
        <f>IFERROR(INDEX('Feature List'!$B$5:$B$8,MATCH(B13,'Feature List'!$A$5:$A$8,0)),"")</f>
        <v/>
      </c>
      <c r="D13" s="12" t="inlineStr">
        <is>
          <t>Task</t>
        </is>
      </c>
      <c r="E13" s="13" t="inlineStr">
        <is>
          <t>DPIA for the readiness model and dashboards</t>
        </is>
      </c>
      <c r="F13" s="13" t="inlineStr">
        <is>
          <t>DPIA approved; audiences defined</t>
        </is>
      </c>
      <c r="G13" s="12" t="n">
        <v>2</v>
      </c>
      <c r="H13" s="12" t="inlineStr">
        <is>
          <t>H3</t>
        </is>
      </c>
      <c r="I13" s="12" t="inlineStr">
        <is>
          <t>P1</t>
        </is>
      </c>
      <c r="J13" s="13" t="inlineStr">
        <is>
          <t>DPO</t>
        </is>
      </c>
      <c r="K13" s="13" t="inlineStr">
        <is>
          <t>–</t>
        </is>
      </c>
      <c r="L13" s="16" t="n"/>
      <c r="M13" s="12" t="inlineStr">
        <is>
          <t>Not started</t>
        </is>
      </c>
      <c r="N13" s="15" t="n"/>
      <c r="O13" s="14" t="n"/>
    </row>
    <row r="14" ht="28.2" customHeight="1">
      <c r="A14" s="12" t="inlineStr">
        <is>
          <t>E30-BL-010</t>
        </is>
      </c>
      <c r="B14" s="12" t="inlineStr">
        <is>
          <t>E30-F02</t>
        </is>
      </c>
      <c r="C14" s="13">
        <f>IFERROR(INDEX('Feature List'!$B$5:$B$8,MATCH(B14,'Feature List'!$A$5:$A$8,0)),"")</f>
        <v/>
      </c>
      <c r="D14" s="12" t="inlineStr">
        <is>
          <t>Spike</t>
        </is>
      </c>
      <c r="E14" s="13" t="inlineStr">
        <is>
          <t>Assess linking the forecast to E14 diary templates for automatic session proposals</t>
        </is>
      </c>
      <c r="F14" s="13" t="inlineStr">
        <is>
          <t>Feasibility memo</t>
        </is>
      </c>
      <c r="G14" s="12" t="n">
        <v>3</v>
      </c>
      <c r="H14" s="12" t="inlineStr">
        <is>
          <t>H3</t>
        </is>
      </c>
      <c r="I14" s="12" t="inlineStr">
        <is>
          <t>P3</t>
        </is>
      </c>
      <c r="J14" s="13" t="inlineStr">
        <is>
          <t>Platform / Backend</t>
        </is>
      </c>
      <c r="K14" s="13" t="inlineStr">
        <is>
          <t>E14</t>
        </is>
      </c>
      <c r="L14" s="16" t="n"/>
      <c r="M14" s="12" t="inlineStr">
        <is>
          <t>Not started</t>
        </is>
      </c>
      <c r="N14" s="15" t="n"/>
      <c r="O14" s="14" t="n"/>
    </row>
    <row r="16">
      <c r="E16" s="17" t="inlineStr">
        <is>
          <t>Total story points (indicative)</t>
        </is>
      </c>
      <c r="G16" s="18">
        <f>SUM(G5:G14)</f>
        <v/>
      </c>
    </row>
    <row r="17">
      <c r="E17" s="17" t="inlineStr">
        <is>
          <t>Items</t>
        </is>
      </c>
      <c r="G17" s="18">
        <f>COUNTA(A5:A14)</f>
        <v/>
      </c>
    </row>
  </sheetData>
  <autoFilter ref="A4:O14"/>
  <mergeCells count="3">
    <mergeCell ref="A1:O1"/>
    <mergeCell ref="A3:O3"/>
    <mergeCell ref="A2:O2"/>
  </mergeCells>
  <conditionalFormatting sqref="I5:I14">
    <cfRule type="cellIs" priority="1" operator="equal" dxfId="0">
      <formula>"P1"</formula>
    </cfRule>
  </conditionalFormatting>
  <dataValidations count="5">
    <dataValidation sqref="M5:M14" showDropDown="0" showInputMessage="0" showErrorMessage="0" allowBlank="1" type="list">
      <formula1>"Not started,In analysis,Ready,In progress,Done,Deferred"</formula1>
    </dataValidation>
    <dataValidation sqref="N5:N14" showDropDown="0" showInputMessage="0" showErrorMessage="0" allowBlank="1" type="list">
      <formula1>"Accept,Modify,Reject,Defer"</formula1>
    </dataValidation>
    <dataValidation sqref="H5:H14" showDropDown="0" showInputMessage="0" showErrorMessage="0" allowBlank="1" type="list">
      <formula1>"H1,H2,H3"</formula1>
    </dataValidation>
    <dataValidation sqref="I5:I14" showDropDown="0" showInputMessage="0" showErrorMessage="0" allowBlank="1" type="list">
      <formula1>"P1,P2,P3"</formula1>
    </dataValidation>
    <dataValidation sqref="D5:D14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E30 – Workforce Health Digital Twin &amp; Capacity Planning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2026-10-30T13:11:14Z</dcterms:created>
  <dcterms:modified xmlns:dcterms="http://purl.org/dc/terms/" xmlns:xsi="http://www.w3.org/2001/XMLSchema-instance" xsi:type="dcterms:W3CDTF">2026-10-30T13:11:14Z</dcterms:modified>
</cp:coreProperties>
</file>