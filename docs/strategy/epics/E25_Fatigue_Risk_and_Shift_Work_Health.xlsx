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List'!$A$4:$J$9</definedName>
    <definedName name="_xlnm.Print_Titles" localSheetId="2">'Feature List'!$4:$4</definedName>
    <definedName name="_xlnm._FilterDatabase" localSheetId="3" hidden="1">'Implementation Backlog'!$A$4:$O$15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E25 – Fatigue Risk &amp; Shift-Work Health (FRMS integration)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E25</t>
        </is>
      </c>
    </row>
    <row r="6" ht="15.6" customHeight="1">
      <c r="A6" s="4" t="inlineStr">
        <is>
          <t>Epic name</t>
        </is>
      </c>
      <c r="B6" s="5" t="inlineStr">
        <is>
          <t>Fatigue Risk &amp; Shift-Work Health (FRMS integration)</t>
        </is>
      </c>
    </row>
    <row r="7" ht="53.4" customHeight="1">
      <c r="A7" s="4" t="inlineStr">
        <is>
          <t>Goal</t>
        </is>
      </c>
      <c r="B7" s="5" t="inlineStr">
        <is>
          <t>Connect occupational health with the airline's Fatigue Risk Management System and rostering without operating the FRMS: fatigue reports with a health component reach OH with the employee's consent, OH restrictions that affect duty patterns (for example no night duty) reach rostering as status, aggregated health-related fatigue insight goes to the FRMS safety action group with suppression, and shift workers get a governed sleep-health screening and referral pathway.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Fatigue is a recognised flight-safety hazard and a driver of MSK injury, absence and psychological strain in shift work. Today the FRMS and OH work in silos; the CREW_FATIGUE triage protocol has no red-flag question. Joining them safely improves both safety and health outcomes while keeping the non-punitive reporting culture.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Consent-based referral from FRMS fatigue reports to OH (health component only)
• Duty-pattern restrictions to rostering as status (extends the E05 feed)
• Aggregated, suppressed health-fatigue indicators for the FRMS safety action group
• Sleep-health screening and referral pathway for shift workers and crew (instruments under clinical governance)
• Fatigue-related absence and injury trend analytics (via E26)
• Red-flag review of the CREW_FATIGUE triage protocol</t>
        </is>
      </c>
      <c r="C9" s="6" t="n"/>
    </row>
    <row r="10" ht="28.2" customHeight="1">
      <c r="A10" s="4" t="inlineStr">
        <is>
          <t>Out of scope</t>
        </is>
      </c>
      <c r="B10" s="5" t="inlineStr">
        <is>
          <t>• FRMS operations, bio-mathematical fatigue modelling and flight-time limitation compliance (Flight Ops SMS – client E12 out of scope)
• Rostering optimisation</t>
        </is>
      </c>
      <c r="C10" s="6" t="n"/>
    </row>
    <row r="11" ht="28.2" customHeight="1">
      <c r="A11" s="4" t="inlineStr">
        <is>
          <t>Primary stakeholders / roles</t>
        </is>
      </c>
      <c r="B11" s="5" t="inlineStr">
        <is>
          <t>FRMS manager / safety action group; Flight Ops; Crew scheduling; Ground operations shift managers; CMO; AME; Nursing Head; Mental-health lead; Employee representatives / unions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≥ 95 % of consented health-related fatigue reports reach OH within 24 h
• 100 % of duty-pattern restrictions delivered to rostering within 15 min
• ≥ 90 % of positive sleep screens followed up within 10 working days
• Fatigue-related sickness absence and injury rate in targeted units: downward trend (indicative)
• 0 identifiable data in FRMS aggregates (k ≥ 5)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E02 Triage (CREW_FATIGUE protocol); E05 Fitness (restrictions, roster feed); E09 Psychosocial risk; E12 fatigue &amp; sleep campaigns; E15 Integration (FRMS, rostering); E26 Data platform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ICAO-A6 and ICAO Doc 9966 FRMS manual
• EASA ORO.FTL.120 FRMS (benchmark)
• ISO45001; ISO45003 (shift work as psychosocial hazard)
• LOCAL-PDP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Client E12 out of scope: 'Fatigue Risk Management System operations (Flight Ops SMS)' and E12 scope 'fatigue / sleep education and referral (complements FRMS)'; increment-1 limitation: CREW_FATIGUE triage protocol has no red-flag question; E09-HLR-05 psychosocial risk includes shift / fatigue; seeded E12 campaign 'fatigue &amp; sleep'.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H2 – Scale (months 6–18), after rostering transport (E15) and the data platform (E26) are live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List'!A5:A9)</f>
        <v/>
      </c>
    </row>
    <row r="21" ht="15" customHeight="1">
      <c r="A21" s="8" t="inlineStr">
        <is>
          <t>Number of backlog items</t>
        </is>
      </c>
      <c r="B21" s="9">
        <f>COUNTA('Implementation Backlog'!A5:A15)</f>
        <v/>
      </c>
    </row>
    <row r="22" ht="15" customHeight="1">
      <c r="A22" s="8" t="inlineStr">
        <is>
          <t>Total story points (indicative)</t>
        </is>
      </c>
      <c r="B22" s="9">
        <f>SUM('Implementation Backlog'!G5:G15)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Backlog'!H5:H15,"H1",'Implementation Backlog'!G5:G15)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Backlog'!H5:H15,"H2",'Implementation Backlog'!G5:G15)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Backlog'!H5:H15,"H3",'Implementation Backlog'!G5:G15)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Backlog'!G5:G15)/30,0)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Backlog'!N5:N15)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E25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66" customHeight="1">
      <c r="A5" s="12" t="inlineStr">
        <is>
          <t>E25-HLR-01</t>
        </is>
      </c>
      <c r="B5" s="13" t="inlineStr">
        <is>
          <t>When an employee consents, a fatigue report with a health component raised in the FRMS shall create an OH referral containing only the minimum data, without returning clinical content to the FRMS.</t>
        </is>
      </c>
      <c r="C5" s="13" t="inlineStr">
        <is>
          <t>Joins safety and health while preserving non-punitive reporting.</t>
        </is>
      </c>
      <c r="D5" s="12" t="inlineStr">
        <is>
          <t>Must</t>
        </is>
      </c>
      <c r="E5" s="13" t="inlineStr">
        <is>
          <t>ICAO-A6; LOCAL-PDP</t>
        </is>
      </c>
      <c r="F5" s="13" t="inlineStr">
        <is>
          <t>FLT – Flight Operations; CAB – Cabin Services; GND – Ground Services; CGO – Cargo &amp; Freight; CAT – Catering; ENG – Engineering &amp; Maintenance; SEC – Security, Fire &amp; Rescue</t>
        </is>
      </c>
      <c r="G5" s="14" t="n"/>
      <c r="H5" s="15" t="n"/>
    </row>
    <row r="6" ht="66" customHeight="1">
      <c r="A6" s="12" t="inlineStr">
        <is>
          <t>E25-HLR-02</t>
        </is>
      </c>
      <c r="B6" s="13" t="inlineStr">
        <is>
          <t>OH restrictions that affect duty patterns (night work, duty length, time-zone crossings) shall reach rostering as coded status within 15 minutes.</t>
        </is>
      </c>
      <c r="C6" s="13" t="inlineStr">
        <is>
          <t>Restrictions must be enforced by rostering; extends the status-only feed.</t>
        </is>
      </c>
      <c r="D6" s="12" t="inlineStr">
        <is>
          <t>Must</t>
        </is>
      </c>
      <c r="E6" s="13" t="inlineStr">
        <is>
          <t>EASA-MED; ICAO-A6</t>
        </is>
      </c>
      <c r="F6" s="13" t="inlineStr">
        <is>
          <t>FLT – Flight Operations; CAB – Cabin Services; GND – Ground Services; CGO – Cargo &amp; Freight; CAT – Catering; ENG – Engineering &amp; Maintenance; SEC – Security, Fire &amp; Rescue</t>
        </is>
      </c>
      <c r="G6" s="14" t="n"/>
      <c r="H6" s="15" t="n"/>
    </row>
    <row r="7" ht="66" customHeight="1">
      <c r="A7" s="12" t="inlineStr">
        <is>
          <t>E25-HLR-03</t>
        </is>
      </c>
      <c r="B7" s="13" t="inlineStr">
        <is>
          <t>The FRMS safety action group shall receive aggregated, suppressed indicators of health-related fatigue by fleet, base or unit.</t>
        </is>
      </c>
      <c r="C7" s="13" t="inlineStr">
        <is>
          <t>Systemic insight without identifying individuals.</t>
        </is>
      </c>
      <c r="D7" s="12" t="inlineStr">
        <is>
          <t>Should</t>
        </is>
      </c>
      <c r="E7" s="13" t="inlineStr">
        <is>
          <t>ICAO-A6; ISO45003</t>
        </is>
      </c>
      <c r="F7" s="13" t="inlineStr">
        <is>
          <t>FLT – Flight Operations; CAB – Cabin Services; GND – Ground Services; CGO – Cargo &amp; Freight; CAT – Catering; ENG – Engineering &amp; Maintenance; SEC – Security, Fire &amp; Rescue</t>
        </is>
      </c>
      <c r="G7" s="14" t="n"/>
      <c r="H7" s="15" t="n"/>
    </row>
    <row r="8" ht="35.05" customHeight="1">
      <c r="A8" s="12" t="inlineStr">
        <is>
          <t>E25-HLR-04</t>
        </is>
      </c>
      <c r="B8" s="13" t="inlineStr">
        <is>
          <t>Shift workers and crew shall have access to a sleep-health screening and referral pathway using instruments approved by clinical governance.</t>
        </is>
      </c>
      <c r="C8" s="13" t="inlineStr">
        <is>
          <t>Sleep disorders are under-diagnosed in shift work and affect fitness.</t>
        </is>
      </c>
      <c r="D8" s="12" t="inlineStr">
        <is>
          <t>Should</t>
        </is>
      </c>
      <c r="E8" s="13" t="inlineStr">
        <is>
          <t>ISO45001; ILO-C161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E25-HLR-05</t>
        </is>
      </c>
      <c r="B9" s="13" t="inlineStr">
        <is>
          <t>The CREW_FATIGUE triage protocol shall have clinically approved red-flag criteria and a pathway to AME review where fitness may be affected.</t>
        </is>
      </c>
      <c r="C9" s="13" t="inlineStr">
        <is>
          <t>Increment-1 limitation; safety-critical gap.</t>
        </is>
      </c>
      <c r="D9" s="12" t="inlineStr">
        <is>
          <t>Must</t>
        </is>
      </c>
      <c r="E9" s="13" t="inlineStr">
        <is>
          <t>EASA-MED; ICAO-A1</t>
        </is>
      </c>
      <c r="F9" s="13" t="inlineStr">
        <is>
          <t>FLT – Flight Operations; CAB – Cabin Services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E25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E25-F01</t>
        </is>
      </c>
      <c r="B5" s="13" t="inlineStr">
        <is>
          <t>FRMS-to-OH consented referral</t>
        </is>
      </c>
      <c r="C5" s="13" t="inlineStr">
        <is>
          <t>Inbound FRMS event with consent token, minimal dataset, referral creation, acknowledgement without clinical content.</t>
        </is>
      </c>
      <c r="D5" s="13" t="inlineStr">
        <is>
          <t>FRMS manager; OH nurse; Employee</t>
        </is>
      </c>
      <c r="E5" s="12" t="inlineStr">
        <is>
          <t>Must</t>
        </is>
      </c>
      <c r="F5" s="13" t="inlineStr">
        <is>
          <t>E25-HLR-01</t>
        </is>
      </c>
      <c r="G5" s="13" t="inlineStr">
        <is>
          <t>Referral created only with consent; FRMS receives 'received' status only.</t>
        </is>
      </c>
      <c r="H5" s="13" t="inlineStr">
        <is>
          <t>Union consultation before go-live.</t>
        </is>
      </c>
      <c r="I5" s="14" t="n"/>
      <c r="J5" s="15" t="n"/>
    </row>
    <row r="6" ht="35.05" customHeight="1">
      <c r="A6" s="12" t="inlineStr">
        <is>
          <t>E25-F02</t>
        </is>
      </c>
      <c r="B6" s="13" t="inlineStr">
        <is>
          <t>Duty-pattern restriction codes in the roster feed</t>
        </is>
      </c>
      <c r="C6" s="13" t="inlineStr">
        <is>
          <t>Restriction codes for night work, duty length and time zones in the restriction catalogue and the status-only feed.</t>
        </is>
      </c>
      <c r="D6" s="13" t="inlineStr">
        <is>
          <t>Physician; AME; Crew scheduling</t>
        </is>
      </c>
      <c r="E6" s="12" t="inlineStr">
        <is>
          <t>Must</t>
        </is>
      </c>
      <c r="F6" s="13" t="inlineStr">
        <is>
          <t>E25-HLR-02</t>
        </is>
      </c>
      <c r="G6" s="13" t="inlineStr">
        <is>
          <t>Codes delivered within 15 min; acknowledgement tracked.</t>
        </is>
      </c>
      <c r="H6" s="13" t="inlineStr">
        <is>
          <t>Ground rostering systems included.</t>
        </is>
      </c>
      <c r="I6" s="14" t="n"/>
      <c r="J6" s="15" t="n"/>
    </row>
    <row r="7" ht="35.05" customHeight="1">
      <c r="A7" s="12" t="inlineStr">
        <is>
          <t>E25-F03</t>
        </is>
      </c>
      <c r="B7" s="13" t="inlineStr">
        <is>
          <t>Aggregated fatigue-health indicators</t>
        </is>
      </c>
      <c r="C7" s="13" t="inlineStr">
        <is>
          <t>Suppressed indicators by fleet / base / unit published to the FRMS group via the data platform.</t>
        </is>
      </c>
      <c r="D7" s="13" t="inlineStr">
        <is>
          <t>FRMS manager; CMO</t>
        </is>
      </c>
      <c r="E7" s="12" t="inlineStr">
        <is>
          <t>Should</t>
        </is>
      </c>
      <c r="F7" s="13" t="inlineStr">
        <is>
          <t>E25-HLR-03</t>
        </is>
      </c>
      <c r="G7" s="13" t="inlineStr">
        <is>
          <t>Indicators suppressed below k = 5; quarterly publication.</t>
        </is>
      </c>
      <c r="H7" s="13" t="inlineStr">
        <is>
          <t>No individual-level data leaves OH.</t>
        </is>
      </c>
      <c r="I7" s="14" t="n"/>
      <c r="J7" s="15" t="n"/>
    </row>
    <row r="8" ht="35.05" customHeight="1">
      <c r="A8" s="12" t="inlineStr">
        <is>
          <t>E25-F04</t>
        </is>
      </c>
      <c r="B8" s="13" t="inlineStr">
        <is>
          <t>Sleep-health pathway</t>
        </is>
      </c>
      <c r="C8" s="13" t="inlineStr">
        <is>
          <t>Self-screen in the app, scoring under governance, referral to OH or sleep service, follow-up tracking.</t>
        </is>
      </c>
      <c r="D8" s="13" t="inlineStr">
        <is>
          <t>Employee; OH nurse; Physician</t>
        </is>
      </c>
      <c r="E8" s="12" t="inlineStr">
        <is>
          <t>Should</t>
        </is>
      </c>
      <c r="F8" s="13" t="inlineStr">
        <is>
          <t>E25-HLR-04</t>
        </is>
      </c>
      <c r="G8" s="13" t="inlineStr">
        <is>
          <t>Positive screens followed up within 10 working days; instruments licensed and approved.</t>
        </is>
      </c>
      <c r="H8" s="13" t="inlineStr">
        <is>
          <t>Instrument choice by CMO.</t>
        </is>
      </c>
      <c r="I8" s="14" t="n"/>
      <c r="J8" s="15" t="n"/>
    </row>
    <row r="9" ht="35.05" customHeight="1">
      <c r="A9" s="12" t="inlineStr">
        <is>
          <t>E25-F05</t>
        </is>
      </c>
      <c r="B9" s="13" t="inlineStr">
        <is>
          <t>CREW_FATIGUE red-flag review</t>
        </is>
      </c>
      <c r="C9" s="13" t="inlineStr">
        <is>
          <t>Clinical review of the protocol, red-flag questions, AME routing.</t>
        </is>
      </c>
      <c r="D9" s="13" t="inlineStr">
        <is>
          <t>CMO; AME lead</t>
        </is>
      </c>
      <c r="E9" s="12" t="inlineStr">
        <is>
          <t>Must</t>
        </is>
      </c>
      <c r="F9" s="13" t="inlineStr">
        <is>
          <t>E25-HLR-05</t>
        </is>
      </c>
      <c r="G9" s="13" t="inlineStr">
        <is>
          <t>Approved protocol version live; red flag routes to AME queue.</t>
        </is>
      </c>
      <c r="H9" s="13" t="inlineStr">
        <is>
          <t>None</t>
        </is>
      </c>
      <c r="I9" s="14" t="n"/>
      <c r="J9" s="15" t="n"/>
    </row>
  </sheetData>
  <autoFilter ref="A4:J9"/>
  <mergeCells count="3">
    <mergeCell ref="A1:J1"/>
    <mergeCell ref="A3:J3"/>
    <mergeCell ref="A2:J2"/>
  </mergeCells>
  <conditionalFormatting sqref="E5:E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E25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E25-BL-001</t>
        </is>
      </c>
      <c r="B5" s="12" t="inlineStr">
        <is>
          <t>E25-F05</t>
        </is>
      </c>
      <c r="C5" s="13">
        <f>IFERROR(INDEX('Feature List'!$B$5:$B$9,MATCH(B5,'Feature List'!$A$5:$A$9,0)),"")</f>
        <v/>
      </c>
      <c r="D5" s="12" t="inlineStr">
        <is>
          <t>Task</t>
        </is>
      </c>
      <c r="E5" s="13" t="inlineStr">
        <is>
          <t>Clinically review the CREW_FATIGUE triage protocol and add approved red-flag questions</t>
        </is>
      </c>
      <c r="F5" s="13" t="inlineStr">
        <is>
          <t>New protocol version APPROVED by CMO; tests updated</t>
        </is>
      </c>
      <c r="G5" s="12" t="n">
        <v>3</v>
      </c>
      <c r="H5" s="12" t="inlineStr">
        <is>
          <t>H1</t>
        </is>
      </c>
      <c r="I5" s="12" t="inlineStr">
        <is>
          <t>P1</t>
        </is>
      </c>
      <c r="J5" s="13" t="inlineStr">
        <is>
          <t>Clinical SME (OH Nurse / Physician)</t>
        </is>
      </c>
      <c r="K5" s="13" t="inlineStr">
        <is>
          <t>E02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E25-BL-002</t>
        </is>
      </c>
      <c r="B6" s="12" t="inlineStr">
        <is>
          <t>E25-F01</t>
        </is>
      </c>
      <c r="C6" s="13">
        <f>IFERROR(INDEX('Feature List'!$B$5:$B$9,MATCH(B6,'Feature List'!$A$5:$A$9,0)),"")</f>
        <v/>
      </c>
      <c r="D6" s="12" t="inlineStr">
        <is>
          <t>Spike</t>
        </is>
      </c>
      <c r="E6" s="13" t="inlineStr">
        <is>
          <t>Agree the FRMS interface, consent model and minimal dataset with the FRMS manager and employee representatives</t>
        </is>
      </c>
      <c r="F6" s="13" t="inlineStr">
        <is>
          <t>Interface specification and consent text approved</t>
        </is>
      </c>
      <c r="G6" s="12" t="n">
        <v>3</v>
      </c>
      <c r="H6" s="12" t="inlineStr">
        <is>
          <t>H2</t>
        </is>
      </c>
      <c r="I6" s="12" t="inlineStr">
        <is>
          <t>P1</t>
        </is>
      </c>
      <c r="J6" s="13" t="inlineStr">
        <is>
          <t>Product Owner; Integration</t>
        </is>
      </c>
      <c r="K6" s="13" t="inlineStr">
        <is>
          <t>–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E25-BL-003</t>
        </is>
      </c>
      <c r="B7" s="12" t="inlineStr">
        <is>
          <t>E25-F01</t>
        </is>
      </c>
      <c r="C7" s="13">
        <f>IFERROR(INDEX('Feature List'!$B$5:$B$9,MATCH(B7,'Feature List'!$A$5:$A$9,0)),"")</f>
        <v/>
      </c>
      <c r="D7" s="12" t="inlineStr">
        <is>
          <t>Story</t>
        </is>
      </c>
      <c r="E7" s="13" t="inlineStr">
        <is>
          <t>As a crew member who files a fatigue report I want to choose whether OH contacts me so that health help never feels punitive</t>
        </is>
      </c>
      <c r="F7" s="13" t="inlineStr">
        <is>
          <t>Consent choice in the FRMS hand-off; referral only with consent</t>
        </is>
      </c>
      <c r="G7" s="12" t="n">
        <v>8</v>
      </c>
      <c r="H7" s="12" t="inlineStr">
        <is>
          <t>H2</t>
        </is>
      </c>
      <c r="I7" s="12" t="inlineStr">
        <is>
          <t>P1</t>
        </is>
      </c>
      <c r="J7" s="13" t="inlineStr">
        <is>
          <t>Integration; Frontend / UX</t>
        </is>
      </c>
      <c r="K7" s="13" t="inlineStr">
        <is>
          <t>E15, E16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E25-BL-004</t>
        </is>
      </c>
      <c r="B8" s="12" t="inlineStr">
        <is>
          <t>E25-F01</t>
        </is>
      </c>
      <c r="C8" s="13">
        <f>IFERROR(INDEX('Feature List'!$B$5:$B$9,MATCH(B8,'Feature List'!$A$5:$A$9,0)),"")</f>
        <v/>
      </c>
      <c r="D8" s="12" t="inlineStr">
        <is>
          <t>Enabler</t>
        </is>
      </c>
      <c r="E8" s="13" t="inlineStr">
        <is>
          <t>Inbound FRMS referral endpoint bound to the FRMS client with minimal dataset and content-free acknowledgement</t>
        </is>
      </c>
      <c r="F8" s="13" t="inlineStr">
        <is>
          <t>org_scope-bound client; allow-list on response; idempotent</t>
        </is>
      </c>
      <c r="G8" s="12" t="n">
        <v>5</v>
      </c>
      <c r="H8" s="12" t="inlineStr">
        <is>
          <t>H2</t>
        </is>
      </c>
      <c r="I8" s="12" t="inlineStr">
        <is>
          <t>P1</t>
        </is>
      </c>
      <c r="J8" s="13" t="inlineStr">
        <is>
          <t>Integration</t>
        </is>
      </c>
      <c r="K8" s="13" t="inlineStr">
        <is>
          <t>E15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E25-BL-005</t>
        </is>
      </c>
      <c r="B9" s="12" t="inlineStr">
        <is>
          <t>E25-F02</t>
        </is>
      </c>
      <c r="C9" s="13">
        <f>IFERROR(INDEX('Feature List'!$B$5:$B$9,MATCH(B9,'Feature List'!$A$5:$A$9,0)),"")</f>
        <v/>
      </c>
      <c r="D9" s="12" t="inlineStr">
        <is>
          <t>Story</t>
        </is>
      </c>
      <c r="E9" s="13" t="inlineStr">
        <is>
          <t>As a physician I want duty-pattern restriction codes so that rostering stops assigning night duty or long sectors when I advise against it</t>
        </is>
      </c>
      <c r="F9" s="13" t="inlineStr">
        <is>
          <t>Codes in restriction catalogue; feed within 15 min; acknowledgement</t>
        </is>
      </c>
      <c r="G9" s="12" t="n">
        <v>5</v>
      </c>
      <c r="H9" s="12" t="inlineStr">
        <is>
          <t>H2</t>
        </is>
      </c>
      <c r="I9" s="12" t="inlineStr">
        <is>
          <t>P1</t>
        </is>
      </c>
      <c r="J9" s="13" t="inlineStr">
        <is>
          <t>Platform / Backend</t>
        </is>
      </c>
      <c r="K9" s="13" t="inlineStr">
        <is>
          <t>E05</t>
        </is>
      </c>
      <c r="L9" s="16" t="n"/>
      <c r="M9" s="12" t="inlineStr">
        <is>
          <t>Not started</t>
        </is>
      </c>
      <c r="N9" s="15" t="n"/>
      <c r="O9" s="14" t="n"/>
    </row>
    <row r="10" ht="40.8" customHeight="1">
      <c r="A10" s="12" t="inlineStr">
        <is>
          <t>E25-BL-006</t>
        </is>
      </c>
      <c r="B10" s="12" t="inlineStr">
        <is>
          <t>E25-F03</t>
        </is>
      </c>
      <c r="C10" s="13">
        <f>IFERROR(INDEX('Feature List'!$B$5:$B$9,MATCH(B10,'Feature List'!$A$5:$A$9,0)),"")</f>
        <v/>
      </c>
      <c r="D10" s="12" t="inlineStr">
        <is>
          <t>Story</t>
        </is>
      </c>
      <c r="E10" s="13" t="inlineStr">
        <is>
          <t>As the FRMS manager I want quarterly health-related fatigue indicators by fleet and base so that the safety action group sees systemic issues</t>
        </is>
      </c>
      <c r="F10" s="13" t="inlineStr">
        <is>
          <t>Suppressed indicators; definitions approved by CMO and FRMS manager</t>
        </is>
      </c>
      <c r="G10" s="12" t="n">
        <v>5</v>
      </c>
      <c r="H10" s="12" t="inlineStr">
        <is>
          <t>H2</t>
        </is>
      </c>
      <c r="I10" s="12" t="inlineStr">
        <is>
          <t>P2</t>
        </is>
      </c>
      <c r="J10" s="13" t="inlineStr">
        <is>
          <t>Data &amp; Analytics</t>
        </is>
      </c>
      <c r="K10" s="13" t="inlineStr">
        <is>
          <t>E26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E25-BL-007</t>
        </is>
      </c>
      <c r="B11" s="12" t="inlineStr">
        <is>
          <t>E25-F04</t>
        </is>
      </c>
      <c r="C11" s="13">
        <f>IFERROR(INDEX('Feature List'!$B$5:$B$9,MATCH(B11,'Feature List'!$A$5:$A$9,0)),"")</f>
        <v/>
      </c>
      <c r="D11" s="12" t="inlineStr">
        <is>
          <t>Task</t>
        </is>
      </c>
      <c r="E11" s="13" t="inlineStr">
        <is>
          <t>Select and licence sleep-health screening instruments and set cut-offs under clinical governance</t>
        </is>
      </c>
      <c r="F11" s="13" t="inlineStr">
        <is>
          <t>Instruments approved; licences recorded; translations per E21</t>
        </is>
      </c>
      <c r="G11" s="12" t="n">
        <v>2</v>
      </c>
      <c r="H11" s="12" t="inlineStr">
        <is>
          <t>H2</t>
        </is>
      </c>
      <c r="I11" s="12" t="inlineStr">
        <is>
          <t>P2</t>
        </is>
      </c>
      <c r="J11" s="13" t="inlineStr">
        <is>
          <t>Clinical SME (OH Nurse / Physician)</t>
        </is>
      </c>
      <c r="K11" s="13" t="inlineStr">
        <is>
          <t>E21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E25-BL-008</t>
        </is>
      </c>
      <c r="B12" s="12" t="inlineStr">
        <is>
          <t>E25-F04</t>
        </is>
      </c>
      <c r="C12" s="13">
        <f>IFERROR(INDEX('Feature List'!$B$5:$B$9,MATCH(B12,'Feature List'!$A$5:$A$9,0)),"")</f>
        <v/>
      </c>
      <c r="D12" s="12" t="inlineStr">
        <is>
          <t>Story</t>
        </is>
      </c>
      <c r="E12" s="13" t="inlineStr">
        <is>
          <t>As a shift worker I want to self-screen my sleep health in the app and get a referral if needed</t>
        </is>
      </c>
      <c r="F12" s="13" t="inlineStr">
        <is>
          <t>Screen scored server-side; positive screen creates follow-up task</t>
        </is>
      </c>
      <c r="G12" s="12" t="n">
        <v>8</v>
      </c>
      <c r="H12" s="12" t="inlineStr">
        <is>
          <t>H2</t>
        </is>
      </c>
      <c r="I12" s="12" t="inlineStr">
        <is>
          <t>P2</t>
        </is>
      </c>
      <c r="J12" s="13" t="inlineStr">
        <is>
          <t>Frontend / UX; Platform / Backend</t>
        </is>
      </c>
      <c r="K12" s="13" t="inlineStr">
        <is>
          <t>E13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E25-BL-009</t>
        </is>
      </c>
      <c r="B13" s="12" t="inlineStr">
        <is>
          <t>E25-F04</t>
        </is>
      </c>
      <c r="C13" s="13">
        <f>IFERROR(INDEX('Feature List'!$B$5:$B$9,MATCH(B13,'Feature List'!$A$5:$A$9,0)),"")</f>
        <v/>
      </c>
      <c r="D13" s="12" t="inlineStr">
        <is>
          <t>Story</t>
        </is>
      </c>
      <c r="E13" s="13" t="inlineStr">
        <is>
          <t>As an OH nurse I want positive sleep screens in a work queue with a 10-day target</t>
        </is>
      </c>
      <c r="F13" s="13" t="inlineStr">
        <is>
          <t>Queue with SLA timer; outcome recorded</t>
        </is>
      </c>
      <c r="G13" s="12" t="n">
        <v>3</v>
      </c>
      <c r="H13" s="12" t="inlineStr">
        <is>
          <t>H2</t>
        </is>
      </c>
      <c r="I13" s="12" t="inlineStr">
        <is>
          <t>P2</t>
        </is>
      </c>
      <c r="J13" s="13" t="inlineStr">
        <is>
          <t>Platform / Backend</t>
        </is>
      </c>
      <c r="K13" s="13" t="inlineStr">
        <is>
          <t>E02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E25-BL-010</t>
        </is>
      </c>
      <c r="B14" s="12" t="inlineStr">
        <is>
          <t>E25-F03</t>
        </is>
      </c>
      <c r="C14" s="13">
        <f>IFERROR(INDEX('Feature List'!$B$5:$B$9,MATCH(B14,'Feature List'!$A$5:$A$9,0)),"")</f>
        <v/>
      </c>
      <c r="D14" s="12" t="inlineStr">
        <is>
          <t>Story</t>
        </is>
      </c>
      <c r="E14" s="13" t="inlineStr">
        <is>
          <t>As a Nursing Head I want fatigue-related absence and injury trends by unit</t>
        </is>
      </c>
      <c r="F14" s="13" t="inlineStr">
        <is>
          <t>Trend from the data platform; suppression applied</t>
        </is>
      </c>
      <c r="G14" s="12" t="n">
        <v>3</v>
      </c>
      <c r="H14" s="12" t="inlineStr">
        <is>
          <t>H2</t>
        </is>
      </c>
      <c r="I14" s="12" t="inlineStr">
        <is>
          <t>P3</t>
        </is>
      </c>
      <c r="J14" s="13" t="inlineStr">
        <is>
          <t>Data &amp; Analytics</t>
        </is>
      </c>
      <c r="K14" s="13" t="inlineStr">
        <is>
          <t>E26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E25-BL-011</t>
        </is>
      </c>
      <c r="B15" s="12" t="inlineStr">
        <is>
          <t>E25-F01</t>
        </is>
      </c>
      <c r="C15" s="13">
        <f>IFERROR(INDEX('Feature List'!$B$5:$B$9,MATCH(B15,'Feature List'!$A$5:$A$9,0)),"")</f>
        <v/>
      </c>
      <c r="D15" s="12" t="inlineStr">
        <is>
          <t>Task</t>
        </is>
      </c>
      <c r="E15" s="13" t="inlineStr">
        <is>
          <t>Consult employee representatives and publish the non-punitive principle for fatigue referrals</t>
        </is>
      </c>
      <c r="F15" s="13" t="inlineStr">
        <is>
          <t>Consultation record; principle published in the app</t>
        </is>
      </c>
      <c r="G15" s="12" t="n">
        <v>2</v>
      </c>
      <c r="H15" s="12" t="inlineStr">
        <is>
          <t>H2</t>
        </is>
      </c>
      <c r="I15" s="12" t="inlineStr">
        <is>
          <t>P1</t>
        </is>
      </c>
      <c r="J15" s="13" t="inlineStr">
        <is>
          <t>Change &amp; Training</t>
        </is>
      </c>
      <c r="K15" s="13" t="inlineStr">
        <is>
          <t>–</t>
        </is>
      </c>
      <c r="L15" s="16" t="n"/>
      <c r="M15" s="12" t="inlineStr">
        <is>
          <t>Not started</t>
        </is>
      </c>
      <c r="N15" s="15" t="n"/>
      <c r="O15" s="14" t="n"/>
    </row>
    <row r="17">
      <c r="E17" s="17" t="inlineStr">
        <is>
          <t>Total story points (indicative)</t>
        </is>
      </c>
      <c r="G17" s="18">
        <f>SUM(G5:G15)</f>
        <v/>
      </c>
    </row>
    <row r="18">
      <c r="E18" s="17" t="inlineStr">
        <is>
          <t>Items</t>
        </is>
      </c>
      <c r="G18" s="18">
        <f>COUNTA(A5:A15)</f>
        <v/>
      </c>
    </row>
  </sheetData>
  <autoFilter ref="A4:O15"/>
  <mergeCells count="3">
    <mergeCell ref="A1:O1"/>
    <mergeCell ref="A3:O3"/>
    <mergeCell ref="A2:O2"/>
  </mergeCells>
  <conditionalFormatting sqref="I5:I15">
    <cfRule type="cellIs" priority="1" operator="equal" dxfId="0">
      <formula>"P1"</formula>
    </cfRule>
  </conditionalFormatting>
  <dataValidations count="5">
    <dataValidation sqref="M5:M15" showDropDown="0" showInputMessage="0" showErrorMessage="0" allowBlank="1" type="list">
      <formula1>"Not started,In analysis,Ready,In progress,Done,Deferred"</formula1>
    </dataValidation>
    <dataValidation sqref="N5:N15" showDropDown="0" showInputMessage="0" showErrorMessage="0" allowBlank="1" type="list">
      <formula1>"Accept,Modify,Reject,Defer"</formula1>
    </dataValidation>
    <dataValidation sqref="H5:H15" showDropDown="0" showInputMessage="0" showErrorMessage="0" allowBlank="1" type="list">
      <formula1>"H1,H2,H3"</formula1>
    </dataValidation>
    <dataValidation sqref="I5:I15" showDropDown="0" showInputMessage="0" showErrorMessage="0" allowBlank="1" type="list">
      <formula1>"P1,P2,P3"</formula1>
    </dataValidation>
    <dataValidation sqref="D5:D15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E25 – Fatigue Risk &amp; Shift-Work Health (FRMS integration)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