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c Overview" sheetId="1" state="visible" r:id="rId1"/>
    <sheet xmlns:r="http://schemas.openxmlformats.org/officeDocument/2006/relationships" name="High-Level Requirements" sheetId="2" state="visible" r:id="rId2"/>
    <sheet xmlns:r="http://schemas.openxmlformats.org/officeDocument/2006/relationships" name="Feature List" sheetId="3" state="visible" r:id="rId3"/>
    <sheet xmlns:r="http://schemas.openxmlformats.org/officeDocument/2006/relationships" name="Implementation Backlog" sheetId="4" state="visible" r:id="rId4"/>
    <sheet xmlns:r="http://schemas.openxmlformats.org/officeDocument/2006/relationships" name="Legends" sheetId="5" state="visible" r:id="rId5"/>
  </sheets>
  <definedNames>
    <definedName name="_xlnm.Print_Titles" localSheetId="0">'Epic Overview'!$4:$4</definedName>
    <definedName name="_xlnm._FilterDatabase" localSheetId="1" hidden="1">'High-Level Requirements'!$A$4:$H$10</definedName>
    <definedName name="_xlnm.Print_Titles" localSheetId="1">'High-Level Requirements'!$4:$4</definedName>
    <definedName name="_xlnm._FilterDatabase" localSheetId="2" hidden="1">'Feature List'!$A$4:$J$10</definedName>
    <definedName name="_xlnm.Print_Titles" localSheetId="2">'Feature List'!$4:$4</definedName>
    <definedName name="_xlnm._FilterDatabase" localSheetId="3" hidden="1">'Implementation Backlog'!$A$4:$O$19</definedName>
    <definedName name="_xlnm.Print_Titles" localSheetId="3">'Implementation Backlog'!$4:$4</definedName>
    <definedName name="_xlnm.Print_Titles" localSheetId="4">'Legends'!$4:$4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595959"/>
      <sz val="10"/>
    </font>
    <font>
      <name val="Arial"/>
      <color rgb="FF7F7F7F"/>
      <sz val="9"/>
    </font>
    <font>
      <name val="Arial"/>
      <b val="1"/>
      <color rgb="FF1F3864"/>
      <sz val="10"/>
    </font>
    <font>
      <name val="Arial"/>
      <color rgb="FF000000"/>
      <sz val="10"/>
    </font>
    <font>
      <name val="Arial"/>
      <b val="1"/>
      <color rgb="FF1F3864"/>
      <sz val="11"/>
    </font>
    <font>
      <name val="Arial"/>
      <b val="1"/>
      <color rgb="FF000000"/>
      <sz val="10"/>
    </font>
    <font>
      <name val="Arial"/>
      <color rgb="FF404040"/>
      <sz val="9"/>
    </font>
    <font>
      <name val="Arial"/>
      <b val="1"/>
      <color rgb="FF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6" fillId="0" borderId="0" pivotButton="0" quotePrefix="0" xfId="0"/>
    <xf numFmtId="0" fontId="7" fillId="3" borderId="1" applyAlignment="1" pivotButton="0" quotePrefix="0" xfId="0">
      <alignment vertical="top" wrapText="1"/>
    </xf>
    <xf numFmtId="0" fontId="5" fillId="0" borderId="1" applyAlignment="1" pivotButton="0" quotePrefix="0" xfId="0">
      <alignment horizontal="left"/>
    </xf>
    <xf numFmtId="0" fontId="8" fillId="0" borderId="0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10" fillId="0" borderId="0" pivotButton="0" quotePrefix="0" xfId="0"/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22" customWidth="1" min="3" max="3"/>
  </cols>
  <sheetData>
    <row r="1" ht="17.35" customHeight="1">
      <c r="A1" s="1" t="inlineStr">
        <is>
          <t>E20 – Resilience &amp; Tier-0 Operations (SRE)</t>
        </is>
      </c>
    </row>
    <row r="2" ht="15" customHeight="1">
      <c r="A2" s="2" t="inlineStr">
        <is>
          <t>Epic overview, scope, value, KPIs and summary metrics (review with the C-suite sponsor, CIO, CMO / Nursing Head and Cyber GRC)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5" ht="15.6" customHeight="1">
      <c r="A5" s="4" t="inlineStr">
        <is>
          <t>Epic ID</t>
        </is>
      </c>
      <c r="B5" s="5" t="inlineStr">
        <is>
          <t>E20</t>
        </is>
      </c>
    </row>
    <row r="6" ht="15.6" customHeight="1">
      <c r="A6" s="4" t="inlineStr">
        <is>
          <t>Epic name</t>
        </is>
      </c>
      <c r="B6" s="5" t="inlineStr">
        <is>
          <t>Resilience &amp; Tier-0 Operations (SRE)</t>
        </is>
      </c>
    </row>
    <row r="7" ht="53.4" customHeight="1">
      <c r="A7" s="4" t="inlineStr">
        <is>
          <t>Goal</t>
        </is>
      </c>
      <c r="B7" s="5" t="inlineStr">
        <is>
          <t>Operate the WellnessZ production service as a Tier-0 system at 99.99 % availability inside a single jurisdiction: a two-region in-country deployment with automated failover, service-level objectives and error budgets per critical journey, production-volume performance evidence, chaos and disaster-recovery drills, zero-downtime change and an on-call operating model with runbooks and post-incident learning.</t>
        </is>
      </c>
      <c r="C7" s="6" t="n"/>
    </row>
    <row r="8" ht="53.4" customHeight="1">
      <c r="A8" s="4" t="inlineStr">
        <is>
          <t>Business value</t>
        </is>
      </c>
      <c r="B8" s="5" t="inlineStr">
        <is>
          <t>Closes the largest operational risks in the GRC register (G9 service unavailability, R8 single region, R9 audit throughput ceiling, R36 pipeline never run against a real cloud). Fitness-for-duty status reaches rostering even during a regional outage, so safety-critical rostering never works from stale data for long. 99.99 % allows about 52 minutes of downtime a year – this only holds if failover is automated and rehearsed.</t>
        </is>
      </c>
      <c r="C8" s="6" t="n"/>
    </row>
    <row r="9" ht="78.59999999999999" customHeight="1">
      <c r="A9" s="4" t="inlineStr">
        <is>
          <t>In scope</t>
        </is>
      </c>
      <c r="B9" s="5" t="inlineStr">
        <is>
          <t>• Two-region in-country Azure deployment (primary + warm standby), allowed-locations policy, DNS-only traffic failover
• SLOs, error budgets and multi-window burn-rate alerts as code for the critical journeys
• Production-volume load, soak and capacity tests; capacity model per environment
• Chaos experiments and quarterly DR drills (zone, region, database, broker, identity provider, ransomware restore)
• Zero-downtime migrations (expand / contract), progressive delivery, feature-flag dark launches
• Observability: golden signals, synthetic probes per region, on-call, runbooks, post-incident reviews; BCP manual fallback</t>
        </is>
      </c>
      <c r="C9" s="6" t="n"/>
    </row>
    <row r="10" ht="40.8" customHeight="1">
      <c r="A10" s="4" t="inlineStr">
        <is>
          <t>Out of scope</t>
        </is>
      </c>
      <c r="B10" s="5" t="inlineStr">
        <is>
          <t>• Enterprise SOC / SIEM operation (E19 and client SOC)
• Commercial hosting decisions already taken in the Tier-0 decision pack
• Business continuity of non-IT processes beyond the OH manual fallback</t>
        </is>
      </c>
      <c r="C10" s="6" t="n"/>
    </row>
    <row r="11" ht="28.2" customHeight="1">
      <c r="A11" s="4" t="inlineStr">
        <is>
          <t>Primary stakeholders / roles</t>
        </is>
      </c>
      <c r="B11" s="5" t="inlineStr">
        <is>
          <t>CIO; Head of SRE / Platform; Platform &amp; SRE team; DBA; Network; Crew scheduling (consumer of fitness status); CMO (BCP fallback); Cyber GRC; Release manager</t>
        </is>
      </c>
      <c r="C11" s="6" t="n"/>
    </row>
    <row r="12" ht="78.59999999999999" customHeight="1">
      <c r="A12" s="4" t="inlineStr">
        <is>
          <t>Success KPIs</t>
        </is>
      </c>
      <c r="B12" s="5" t="inlineStr">
        <is>
          <t>• Availability of PROD (measured SLO) ≥ 99.99 % per calendar month
• Region failover proven every quarter: RTO ≤ 15 min, RPO ≤ 5 min (Tier-0 decision pack targets)
• Quarterly isolated restore test pass rate 100 %
• p95 API latency ≤ 400 ms at 1.5 × forecast peak; 0 SLO breaches caused by capacity
• Change failure rate ≤ 10 %; mean time to restore (P1) ≤ 30 min
• 0 schema migrations that require downtime</t>
        </is>
      </c>
      <c r="C12" s="6" t="n"/>
    </row>
    <row r="13" ht="28.2" customHeight="1">
      <c r="A13" s="4" t="inlineStr">
        <is>
          <t>Dependencies</t>
        </is>
      </c>
      <c r="B13" s="5" t="inlineStr">
        <is>
          <t>E15 Integration (broker adapter D3, rostering transport); E16 Identity &amp; security (customer-managed keys, envelope encryption); E19 Security (SEC-E03 admission, SEC-E04 private control plane, SEC-E09 CMK); decision D1 / D9 and the Tier-0 cost decision pack</t>
        </is>
      </c>
      <c r="C13" s="6" t="n"/>
    </row>
    <row r="14" ht="53.4" customHeight="1">
      <c r="A14" s="4" t="inlineStr">
        <is>
          <t>Standards &amp; references</t>
        </is>
      </c>
      <c r="B14" s="5" t="inlineStr">
        <is>
          <t>• SOC2 A1.2 / A1.3 availability and recovery
• ISO22301 business continuity; ISO27001 A.5.30, A.8.13, A.8.14
• SRE: service-level objectives, error budgets, multi-window burn-rate alerting
• CIS-K8S benchmarks for AKS</t>
        </is>
      </c>
      <c r="C14" s="6" t="n"/>
    </row>
    <row r="15" ht="40.8" customHeight="1">
      <c r="A15" s="4" t="inlineStr">
        <is>
          <t>Evidence base (why now)</t>
        </is>
      </c>
      <c r="B15" s="5" t="inlineStr">
        <is>
          <t>Architecture doc §12: 'Region failure – not automated in the current IaC (single region)'; release notes 3–5: bulk invitation, 50K-staff vaccination campaign, tracing over large rosters, worklists and exports not load-tested at production volume; R9 audit advisory lock throughput ceiling 'to be load-tested'; R36 promotion pipeline not yet executed against real clouds.</t>
        </is>
      </c>
      <c r="C15" s="6" t="n"/>
    </row>
    <row r="16" ht="28.2" customHeight="1">
      <c r="A16" s="4" t="inlineStr">
        <is>
          <t>Recommended start horizon</t>
        </is>
      </c>
      <c r="B16" s="5" t="inlineStr">
        <is>
          <t>H1 – Go-live readiness (months 0–6) for two-region, SLOs, load tests and the first DR drill; H2 for chaos automation and progressive delivery</t>
        </is>
      </c>
      <c r="C16" s="6" t="n"/>
    </row>
    <row r="18">
      <c r="A18" s="7" t="inlineStr">
        <is>
          <t>Summary metrics (formula-driven)</t>
        </is>
      </c>
    </row>
    <row r="19" ht="15" customHeight="1">
      <c r="A19" s="8" t="inlineStr">
        <is>
          <t>Number of high-level requirements</t>
        </is>
      </c>
      <c r="B19" s="9">
        <f>COUNTA('High-Level Requirements'!A5:A10)</f>
        <v/>
      </c>
    </row>
    <row r="20" ht="15" customHeight="1">
      <c r="A20" s="8" t="inlineStr">
        <is>
          <t>Number of features</t>
        </is>
      </c>
      <c r="B20" s="9">
        <f>COUNTA('Feature List'!A5:A10)</f>
        <v/>
      </c>
    </row>
    <row r="21" ht="15" customHeight="1">
      <c r="A21" s="8" t="inlineStr">
        <is>
          <t>Number of backlog items</t>
        </is>
      </c>
      <c r="B21" s="9">
        <f>COUNTA('Implementation Backlog'!A5:A19)</f>
        <v/>
      </c>
    </row>
    <row r="22" ht="15" customHeight="1">
      <c r="A22" s="8" t="inlineStr">
        <is>
          <t>Total story points (indicative)</t>
        </is>
      </c>
      <c r="B22" s="9">
        <f>SUM('Implementation Backlog'!G5:G19)</f>
        <v/>
      </c>
    </row>
    <row r="23" ht="15" customHeight="1">
      <c r="A23" s="8" t="inlineStr">
        <is>
          <t>Story points – H1 (0–6 months)</t>
        </is>
      </c>
      <c r="B23" s="9">
        <f>SUMIF('Implementation Backlog'!H5:H19,"H1",'Implementation Backlog'!G5:G19)</f>
        <v/>
      </c>
    </row>
    <row r="24" ht="15" customHeight="1">
      <c r="A24" s="8" t="inlineStr">
        <is>
          <t>Story points – H2 (6–18 months)</t>
        </is>
      </c>
      <c r="B24" s="9">
        <f>SUMIF('Implementation Backlog'!H5:H19,"H2",'Implementation Backlog'!G5:G19)</f>
        <v/>
      </c>
    </row>
    <row r="25" ht="15" customHeight="1">
      <c r="A25" s="8" t="inlineStr">
        <is>
          <t>Story points – H3 (18–36 months)</t>
        </is>
      </c>
      <c r="B25" s="9">
        <f>SUMIF('Implementation Backlog'!H5:H19,"H3",'Implementation Backlog'!G5:G19)</f>
        <v/>
      </c>
    </row>
    <row r="26" ht="27" customHeight="1">
      <c r="A26" s="8" t="inlineStr">
        <is>
          <t>Indicative team-sprints (at 30 SP per sprint)</t>
        </is>
      </c>
      <c r="B26" s="9">
        <f>ROUNDUP(SUM('Implementation Backlog'!G5:G19)/30,0)</f>
        <v/>
      </c>
    </row>
    <row r="27" ht="15" customHeight="1">
      <c r="A27" s="8" t="inlineStr">
        <is>
          <t>Must-have requirements</t>
        </is>
      </c>
      <c r="B27" s="9">
        <f>COUNTIF('High-Level Requirements'!D5:D10,"Must")</f>
        <v/>
      </c>
    </row>
    <row r="28" ht="27" customHeight="1">
      <c r="A28" s="8" t="inlineStr">
        <is>
          <t>Backlog items awaiting review decision</t>
        </is>
      </c>
      <c r="B28" s="9">
        <f>COUNTBLANK('Implementation Backlog'!N5:N19)</f>
        <v/>
      </c>
    </row>
    <row r="30">
      <c r="A30" s="7" t="inlineStr">
        <is>
          <t>Notes &amp; assumptions</t>
        </is>
      </c>
    </row>
    <row r="31" ht="30" customHeight="1">
      <c r="A31" s="10" t="inlineStr">
        <is>
          <t>How to review: yellow cells are for the reviewers named on the overview (C-suite sponsor, CIO, CMO / Nursing Head, Cyber GRC, DPO). Use the 'Decision' and 'Review comment' columns on each sheet; the dropdowns offer Accept / Modify / Reject / Defer.</t>
        </is>
      </c>
    </row>
    <row r="32" ht="30" customHeight="1">
      <c r="A32" s="10" t="inlineStr">
        <is>
          <t>Story points are indicative relative-size estimates (Fibonacci-like scale) produced during strategy drafting; they must be re-estimated by the delivery teams. Team-sprints in the catalogue workbook use an indicative velocity of 30 points per team per two-week sprint.</t>
        </is>
      </c>
    </row>
    <row r="33" ht="30" customHeight="1">
      <c r="A33" s="10" t="inlineStr">
        <is>
          <t>Horizons: H1 = Go-live readiness and close the gaps (months 0–6), H2 = Scale, intelligence and experience (months 6–18), H3 = Ecosystem and industry leadership (months 18–36). Priority on backlog items is P1 (critical) / P2 / P3.</t>
        </is>
      </c>
    </row>
    <row r="34" ht="30" customHeight="1">
      <c r="A34" s="10" t="inlineStr">
        <is>
          <t>Nothing in this workbook exists in the product today unless the 'Evidence base' row says so; benefits and KPI targets are indicative and must be baselined by their business owners.</t>
        </is>
      </c>
    </row>
    <row r="35" ht="30" customHeight="1">
      <c r="A35" s="10" t="inlineStr">
        <is>
          <t>Confidentiality rule used throughout: managers, HR, crew scheduling, vendors and analytics audiences see status or suppressed aggregates only – never diagnosis or clinical detail; all data stays in the client's jurisdiction.</t>
        </is>
      </c>
    </row>
  </sheetData>
  <mergeCells count="16">
    <mergeCell ref="B13:C13"/>
    <mergeCell ref="A1:D1"/>
    <mergeCell ref="B16:C16"/>
    <mergeCell ref="A33:C33"/>
    <mergeCell ref="B15:C15"/>
    <mergeCell ref="B7:C7"/>
    <mergeCell ref="B11:C11"/>
    <mergeCell ref="A32:C32"/>
    <mergeCell ref="A31:C31"/>
    <mergeCell ref="B10:C10"/>
    <mergeCell ref="B14:C14"/>
    <mergeCell ref="A35:C35"/>
    <mergeCell ref="A34:C34"/>
    <mergeCell ref="B9:C9"/>
    <mergeCell ref="B8:C8"/>
    <mergeCell ref="B12:C1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0" customWidth="1" min="2" max="2"/>
    <col width="45" customWidth="1" min="3" max="3"/>
    <col width="12" customWidth="1" min="4" max="4"/>
    <col width="28" customWidth="1" min="5" max="5"/>
    <col width="34" customWidth="1" min="6" max="6"/>
    <col width="36" customWidth="1" min="7" max="7"/>
    <col width="12" customWidth="1" min="8" max="8"/>
  </cols>
  <sheetData>
    <row r="1" ht="17.35" customHeight="1">
      <c r="A1" s="1" t="inlineStr">
        <is>
          <t>E20 – High-Level Requirements</t>
        </is>
      </c>
    </row>
    <row r="2" ht="15" customHeight="1">
      <c r="A2" s="2" t="inlineStr">
        <is>
          <t>What the solution must achieve for this epic (MoSCoW prioritised, traced to standards and to the evidence of increments 1–5)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HLR ID</t>
        </is>
      </c>
      <c r="B4" s="11" t="inlineStr">
        <is>
          <t>Requirement</t>
        </is>
      </c>
      <c r="C4" s="11" t="inlineStr">
        <is>
          <t>Rationale</t>
        </is>
      </c>
      <c r="D4" s="11" t="inlineStr">
        <is>
          <t>Priority (MoSCoW)</t>
        </is>
      </c>
      <c r="E4" s="11" t="inlineStr">
        <is>
          <t>Standards / sources</t>
        </is>
      </c>
      <c r="F4" s="11" t="inlineStr">
        <is>
          <t>Applicable units</t>
        </is>
      </c>
      <c r="G4" s="11" t="inlineStr">
        <is>
          <t>Review comment (sponsor / CMO / GRC)</t>
        </is>
      </c>
      <c r="H4" s="11" t="inlineStr">
        <is>
          <t>Decision</t>
        </is>
      </c>
    </row>
    <row r="5" ht="53.4" customHeight="1">
      <c r="A5" s="12" t="inlineStr">
        <is>
          <t>E20-HLR-01</t>
        </is>
      </c>
      <c r="B5" s="13" t="inlineStr">
        <is>
          <t>The production service shall run in two regions of the same jurisdiction (primary and warm standby) with an asynchronous database replica, customer-managed keys, immutable backups replicated only in-country and DNS-only traffic failover; an allowed-locations policy shall block any resource outside the jurisdiction.</t>
        </is>
      </c>
      <c r="C5" s="13" t="inlineStr">
        <is>
          <t>Single-jurisdiction residency and Tier-0 availability are client constraints; one region delivers about 99.91 % by composite SLA.</t>
        </is>
      </c>
      <c r="D5" s="12" t="inlineStr">
        <is>
          <t>Must</t>
        </is>
      </c>
      <c r="E5" s="13" t="inlineStr">
        <is>
          <t>SOC2 A1.2; ISO22301; LOCAL-PDP</t>
        </is>
      </c>
      <c r="F5" s="13" t="inlineStr">
        <is>
          <t>ALL – All subsidiaries &amp; departments (group-wide)</t>
        </is>
      </c>
      <c r="G5" s="14" t="n"/>
      <c r="H5" s="15" t="n"/>
    </row>
    <row r="6" ht="40.8" customHeight="1">
      <c r="A6" s="12" t="inlineStr">
        <is>
          <t>E20-HLR-02</t>
        </is>
      </c>
      <c r="B6" s="13" t="inlineStr">
        <is>
          <t>Each critical journey (sign-in, triage queue, fitness status to rostering, urgent mental-health call-back, contact tracing, partner referral) shall have a published SLO, an error budget and burn-rate alerts managed as code.</t>
        </is>
      </c>
      <c r="C6" s="13" t="inlineStr">
        <is>
          <t>Alerting on symptoms users feel instead of host metrics; error budget governs release pace.</t>
        </is>
      </c>
      <c r="D6" s="12" t="inlineStr">
        <is>
          <t>Must</t>
        </is>
      </c>
      <c r="E6" s="13" t="inlineStr">
        <is>
          <t>SRE; SOC2 CC7.2</t>
        </is>
      </c>
      <c r="F6" s="13" t="inlineStr">
        <is>
          <t>ALL – All subsidiaries &amp; departments (group-wide)</t>
        </is>
      </c>
      <c r="G6" s="14" t="n"/>
      <c r="H6" s="15" t="n"/>
    </row>
    <row r="7" ht="53.4" customHeight="1">
      <c r="A7" s="12" t="inlineStr">
        <is>
          <t>E20-HLR-03</t>
        </is>
      </c>
      <c r="B7" s="13" t="inlineStr">
        <is>
          <t>The platform shall be load-, soak- and stress-tested at production volume before go-live and before each major release, including a 50K-staff vaccination campaign, bulk invitations, roster-wide contact tracing, worklists, roll-ups, exports and audit-chain write throughput.</t>
        </is>
      </c>
      <c r="C7" s="13" t="inlineStr">
        <is>
          <t>Release notes 3–5 state that none of these was tested at production volume.</t>
        </is>
      </c>
      <c r="D7" s="12" t="inlineStr">
        <is>
          <t>Must</t>
        </is>
      </c>
      <c r="E7" s="13" t="inlineStr">
        <is>
          <t>SOC2 A1.1; ISO27001 A.8.6</t>
        </is>
      </c>
      <c r="F7" s="13" t="inlineStr">
        <is>
          <t>ALL – All subsidiaries &amp; departments (group-wide)</t>
        </is>
      </c>
      <c r="G7" s="14" t="n"/>
      <c r="H7" s="15" t="n"/>
    </row>
    <row r="8" ht="40.8" customHeight="1">
      <c r="A8" s="12" t="inlineStr">
        <is>
          <t>E20-HLR-04</t>
        </is>
      </c>
      <c r="B8" s="13" t="inlineStr">
        <is>
          <t>Resilience shall be verified by scheduled chaos experiments and quarterly disaster-recovery drills covering zone, region, database, broker and identity-provider failure, plus a restore from immutable backup into an isolated environment.</t>
        </is>
      </c>
      <c r="C8" s="13" t="inlineStr">
        <is>
          <t>Recovery targets are only credible when rehearsed; evidence is required for SOC 2 availability criteria.</t>
        </is>
      </c>
      <c r="D8" s="12" t="inlineStr">
        <is>
          <t>Must</t>
        </is>
      </c>
      <c r="E8" s="13" t="inlineStr">
        <is>
          <t>ISO22301; SOC2 A1.3</t>
        </is>
      </c>
      <c r="F8" s="13" t="inlineStr">
        <is>
          <t>ALL – All subsidiaries &amp; departments (group-wide)</t>
        </is>
      </c>
      <c r="G8" s="14" t="n"/>
      <c r="H8" s="15" t="n"/>
    </row>
    <row r="9" ht="53.4" customHeight="1">
      <c r="A9" s="12" t="inlineStr">
        <is>
          <t>E20-HLR-05</t>
        </is>
      </c>
      <c r="B9" s="13" t="inlineStr">
        <is>
          <t>Releases shall not require downtime: database migrations shall follow expand / contract, application releases shall be progressive (canary or blue / green) with automatic rollback, and new features shall be dark-launched behind governed feature flags.</t>
        </is>
      </c>
      <c r="C9" s="13" t="inlineStr">
        <is>
          <t>Tier-0 budget leaves no room for maintenance windows; flags exist today as plumbing only.</t>
        </is>
      </c>
      <c r="D9" s="12" t="inlineStr">
        <is>
          <t>Should</t>
        </is>
      </c>
      <c r="E9" s="13" t="inlineStr">
        <is>
          <t>SOC2 CC8.1; ISO27001 A.8.32</t>
        </is>
      </c>
      <c r="F9" s="13" t="inlineStr">
        <is>
          <t>ALL – All subsidiaries &amp; departments (group-wide)</t>
        </is>
      </c>
      <c r="G9" s="14" t="n"/>
      <c r="H9" s="15" t="n"/>
    </row>
    <row r="10" ht="40.8" customHeight="1">
      <c r="A10" s="12" t="inlineStr">
        <is>
          <t>E20-HLR-06</t>
        </is>
      </c>
      <c r="B10" s="13" t="inlineStr">
        <is>
          <t>Operations shall have 24×7 on-call with runbooks for every alert, synthetic probes per region, post-incident reviews without blame, and a documented manual fallback for fitness-for-duty decisions during an outage.</t>
        </is>
      </c>
      <c r="C10" s="13" t="inlineStr">
        <is>
          <t>Architecture doc §12: BCP must define the manual fallback for fitness decisions.</t>
        </is>
      </c>
      <c r="D10" s="12" t="inlineStr">
        <is>
          <t>Must</t>
        </is>
      </c>
      <c r="E10" s="13" t="inlineStr">
        <is>
          <t>ISO22301; IOSA; SOC2 CC7.4</t>
        </is>
      </c>
      <c r="F10" s="13" t="inlineStr">
        <is>
          <t>FLT – Flight Operations; CAB – Cabin Services; ALL – All subsidiaries &amp; departments (group-wide)</t>
        </is>
      </c>
      <c r="G10" s="14" t="n"/>
      <c r="H10" s="15" t="n"/>
    </row>
  </sheetData>
  <autoFilter ref="A4:H10"/>
  <mergeCells count="3">
    <mergeCell ref="A3:H3"/>
    <mergeCell ref="A2:H2"/>
    <mergeCell ref="A1:H1"/>
  </mergeCells>
  <conditionalFormatting sqref="D5:D10">
    <cfRule type="cellIs" priority="1" operator="equal" dxfId="0">
      <formula>"Must"</formula>
    </cfRule>
    <cfRule type="cellIs" priority="2" operator="equal" dxfId="1">
      <formula>"Should"</formula>
    </cfRule>
    <cfRule type="cellIs" priority="3" operator="equal" dxfId="2">
      <formula>"Could"</formula>
    </cfRule>
  </conditionalFormatting>
  <dataValidations count="1">
    <dataValidation sqref="H5:H10" showDropDown="0" showInputMessage="0" showErrorMessage="0" allowBlank="1" type="list">
      <formula1>"Accept,Modify,Reject,Defer"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60" customWidth="1" min="3" max="3"/>
    <col width="24" customWidth="1" min="4" max="4"/>
    <col width="12" customWidth="1" min="5" max="5"/>
    <col width="18" customWidth="1" min="6" max="6"/>
    <col width="48" customWidth="1" min="7" max="7"/>
    <col width="36" customWidth="1" min="8" max="8"/>
    <col width="30" customWidth="1" min="9" max="9"/>
    <col width="12" customWidth="1" min="10" max="10"/>
  </cols>
  <sheetData>
    <row r="1" ht="17.35" customHeight="1">
      <c r="A1" s="1" t="inlineStr">
        <is>
          <t>E20 – Low-Level Feature List</t>
        </is>
      </c>
    </row>
    <row r="2" ht="15" customHeight="1">
      <c r="A2" s="2" t="inlineStr">
        <is>
          <t>Features that implement the high-level requirements, with roles, acceptance criteria and unit-specific notes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Feature ID</t>
        </is>
      </c>
      <c r="B4" s="11" t="inlineStr">
        <is>
          <t>Feature</t>
        </is>
      </c>
      <c r="C4" s="11" t="inlineStr">
        <is>
          <t>Description</t>
        </is>
      </c>
      <c r="D4" s="11" t="inlineStr">
        <is>
          <t>Primary roles</t>
        </is>
      </c>
      <c r="E4" s="11" t="inlineStr">
        <is>
          <t>Priority (MoSCoW)</t>
        </is>
      </c>
      <c r="F4" s="11" t="inlineStr">
        <is>
          <t>Traces to HLR</t>
        </is>
      </c>
      <c r="G4" s="11" t="inlineStr">
        <is>
          <t>Acceptance criteria (summary)</t>
        </is>
      </c>
      <c r="H4" s="11" t="inlineStr">
        <is>
          <t>Unit-specific notes</t>
        </is>
      </c>
      <c r="I4" s="11" t="inlineStr">
        <is>
          <t>Review comment</t>
        </is>
      </c>
      <c r="J4" s="11" t="inlineStr">
        <is>
          <t>Decision</t>
        </is>
      </c>
    </row>
    <row r="5" ht="40.8" customHeight="1">
      <c r="A5" s="12" t="inlineStr">
        <is>
          <t>E20-F01</t>
        </is>
      </c>
      <c r="B5" s="13" t="inlineStr">
        <is>
          <t>Two-region in-country topology</t>
        </is>
      </c>
      <c r="C5" s="13" t="inlineStr">
        <is>
          <t>Recovery stack in the paired in-country region: warm AKS cluster, async PostgreSQL replica with CMK, replicated registry, immutable backup vault, Traffic Manager DNS failover, allowed-locations policy.</t>
        </is>
      </c>
      <c r="D5" s="13" t="inlineStr">
        <is>
          <t>SRE; DBA; Network</t>
        </is>
      </c>
      <c r="E5" s="12" t="inlineStr">
        <is>
          <t>Must</t>
        </is>
      </c>
      <c r="F5" s="13" t="inlineStr">
        <is>
          <t>E20-HLR-01</t>
        </is>
      </c>
      <c r="G5" s="13" t="inlineStr">
        <is>
          <t>Policy denies out-of-country resources; replica lag alert ≤ 5 min; failover runbook automated end to end in UAT.</t>
        </is>
      </c>
      <c r="H5" s="13" t="inlineStr">
        <is>
          <t>Same design for a UK or UAE region pair; UAE Central needs an access request.</t>
        </is>
      </c>
      <c r="I5" s="14" t="n"/>
      <c r="J5" s="15" t="n"/>
    </row>
    <row r="6" ht="35.05" customHeight="1">
      <c r="A6" s="12" t="inlineStr">
        <is>
          <t>E20-F02</t>
        </is>
      </c>
      <c r="B6" s="13" t="inlineStr">
        <is>
          <t>SLOs, error budgets and burn-rate alerting</t>
        </is>
      </c>
      <c r="C6" s="13" t="inlineStr">
        <is>
          <t>SLO catalogue per journey, recording rules and burn-rate alerts as code, error-budget policy that pauses feature releases when exhausted.</t>
        </is>
      </c>
      <c r="D6" s="13" t="inlineStr">
        <is>
          <t>SRE; Product owners</t>
        </is>
      </c>
      <c r="E6" s="12" t="inlineStr">
        <is>
          <t>Must</t>
        </is>
      </c>
      <c r="F6" s="13" t="inlineStr">
        <is>
          <t>E20-HLR-02</t>
        </is>
      </c>
      <c r="G6" s="13" t="inlineStr">
        <is>
          <t>Six journeys with SLOs live; alert fires in a fault-injection test; monthly SLO report to the CIO.</t>
        </is>
      </c>
      <c r="H6" s="13" t="inlineStr">
        <is>
          <t>Fitness-status journey owned jointly with crew scheduling.</t>
        </is>
      </c>
      <c r="I6" s="14" t="n"/>
      <c r="J6" s="15" t="n"/>
    </row>
    <row r="7" ht="35.05" customHeight="1">
      <c r="A7" s="12" t="inlineStr">
        <is>
          <t>E20-F03</t>
        </is>
      </c>
      <c r="B7" s="13" t="inlineStr">
        <is>
          <t>Performance and capacity engineering</t>
        </is>
      </c>
      <c r="C7" s="13" t="inlineStr">
        <is>
          <t>Load-test suite with production-shaped synthetic data, soak tests, capacity model and per-release performance budget in the pipeline.</t>
        </is>
      </c>
      <c r="D7" s="13" t="inlineStr">
        <is>
          <t>SRE; QA; Core API team</t>
        </is>
      </c>
      <c r="E7" s="12" t="inlineStr">
        <is>
          <t>Must</t>
        </is>
      </c>
      <c r="F7" s="13" t="inlineStr">
        <is>
          <t>E20-HLR-03</t>
        </is>
      </c>
      <c r="G7" s="13" t="inlineStr">
        <is>
          <t>Campaign, tracing, worklist and audit scenarios pass at 1.5 × forecast peak; capacity model approved.</t>
        </is>
      </c>
      <c r="H7" s="13" t="inlineStr">
        <is>
          <t>Synthetic data only – never production health data.</t>
        </is>
      </c>
      <c r="I7" s="14" t="n"/>
      <c r="J7" s="15" t="n"/>
    </row>
    <row r="8" ht="40.8" customHeight="1">
      <c r="A8" s="12" t="inlineStr">
        <is>
          <t>E20-F04</t>
        </is>
      </c>
      <c r="B8" s="13" t="inlineStr">
        <is>
          <t>Chaos and disaster-recovery programme</t>
        </is>
      </c>
      <c r="C8" s="13" t="inlineStr">
        <is>
          <t>Chaos experiments in UAT on a schedule, quarterly region failover and restore drills in PROD-like conditions, ransomware recovery from immutable copies.</t>
        </is>
      </c>
      <c r="D8" s="13" t="inlineStr">
        <is>
          <t>SRE; DBA; Cyber GRC</t>
        </is>
      </c>
      <c r="E8" s="12" t="inlineStr">
        <is>
          <t>Must</t>
        </is>
      </c>
      <c r="F8" s="13" t="inlineStr">
        <is>
          <t>E20-HLR-04</t>
        </is>
      </c>
      <c r="G8" s="13" t="inlineStr">
        <is>
          <t>Drill report each quarter with measured RTO / RPO; findings tracked to closure.</t>
        </is>
      </c>
      <c r="H8" s="13" t="inlineStr">
        <is>
          <t>First drill is a go-live condition.</t>
        </is>
      </c>
      <c r="I8" s="14" t="n"/>
      <c r="J8" s="15" t="n"/>
    </row>
    <row r="9" ht="40.8" customHeight="1">
      <c r="A9" s="12" t="inlineStr">
        <is>
          <t>E20-F05</t>
        </is>
      </c>
      <c r="B9" s="13" t="inlineStr">
        <is>
          <t>Zero-downtime delivery</t>
        </is>
      </c>
      <c r="C9" s="13" t="inlineStr">
        <is>
          <t>Expand / contract migration guideline and lint, canary releases with automatic analysis and rollback, governed feature flags (owner, expiry, audit).</t>
        </is>
      </c>
      <c r="D9" s="13" t="inlineStr">
        <is>
          <t>Platform; Core API team; Release manager</t>
        </is>
      </c>
      <c r="E9" s="12" t="inlineStr">
        <is>
          <t>Should</t>
        </is>
      </c>
      <c r="F9" s="13" t="inlineStr">
        <is>
          <t>E20-HLR-05</t>
        </is>
      </c>
      <c r="G9" s="13" t="inlineStr">
        <is>
          <t>Two consecutive releases with zero downtime; every flag has owner and expiry.</t>
        </is>
      </c>
      <c r="H9" s="13" t="inlineStr">
        <is>
          <t>Flags must never switch off a safety control.</t>
        </is>
      </c>
      <c r="I9" s="14" t="n"/>
      <c r="J9" s="15" t="n"/>
    </row>
    <row r="10" ht="35.05" customHeight="1">
      <c r="A10" s="12" t="inlineStr">
        <is>
          <t>E20-F06</t>
        </is>
      </c>
      <c r="B10" s="13" t="inlineStr">
        <is>
          <t>On-call, runbooks and operational learning</t>
        </is>
      </c>
      <c r="C10" s="13" t="inlineStr">
        <is>
          <t>On-call rota, runbook per alert, synthetic probes per region, post-incident review template, BCP manual fallback for fitness decisions.</t>
        </is>
      </c>
      <c r="D10" s="13" t="inlineStr">
        <is>
          <t>SRE; CMO; Crew scheduling</t>
        </is>
      </c>
      <c r="E10" s="12" t="inlineStr">
        <is>
          <t>Must</t>
        </is>
      </c>
      <c r="F10" s="13" t="inlineStr">
        <is>
          <t>E20-HLR-06</t>
        </is>
      </c>
      <c r="G10" s="13" t="inlineStr">
        <is>
          <t>100 % of paging alerts link a runbook; BCP fallback exercised in a tabletop with crew scheduling.</t>
        </is>
      </c>
      <c r="H10" s="13" t="inlineStr">
        <is>
          <t>Manual fallback covers crew and safety-sensitive ground roles.</t>
        </is>
      </c>
      <c r="I10" s="14" t="n"/>
      <c r="J10" s="15" t="n"/>
    </row>
  </sheetData>
  <autoFilter ref="A4:J10"/>
  <mergeCells count="3">
    <mergeCell ref="A1:J1"/>
    <mergeCell ref="A3:J3"/>
    <mergeCell ref="A2:J2"/>
  </mergeCells>
  <conditionalFormatting sqref="E5:E10">
    <cfRule type="cellIs" priority="1" operator="equal" dxfId="0">
      <formula>"Must"</formula>
    </cfRule>
    <cfRule type="cellIs" priority="2" operator="equal" dxfId="1">
      <formula>"Should"</formula>
    </cfRule>
    <cfRule type="cellIs" priority="3" operator="equal" dxfId="2">
      <formula>"Could"</formula>
    </cfRule>
  </conditionalFormatting>
  <dataValidations count="1">
    <dataValidation sqref="J5:J10" showDropDown="0" showInputMessage="0" showErrorMessage="0" allowBlank="1" type="list">
      <formula1>"Accept,Modify,Reject,Defer"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26" customWidth="1" min="3" max="3"/>
    <col width="9" customWidth="1" min="4" max="4"/>
    <col width="60" customWidth="1" min="5" max="5"/>
    <col width="55" customWidth="1" min="6" max="6"/>
    <col width="10" customWidth="1" min="7" max="7"/>
    <col width="9" customWidth="1" min="8" max="8"/>
    <col width="9" customWidth="1" min="9" max="9"/>
    <col width="24" customWidth="1" min="10" max="10"/>
    <col width="14" customWidth="1" min="11" max="11"/>
    <col width="10" customWidth="1" min="12" max="12"/>
    <col width="13" customWidth="1" min="13" max="13"/>
    <col width="11" customWidth="1" min="14" max="14"/>
    <col width="30" customWidth="1" min="15" max="15"/>
  </cols>
  <sheetData>
    <row r="1" ht="17.35" customHeight="1">
      <c r="A1" s="1" t="inlineStr">
        <is>
          <t>E20 – Implementation Backlog (line by line)</t>
        </is>
      </c>
    </row>
    <row r="2" ht="15" customHeight="1">
      <c r="A2" s="2" t="inlineStr">
        <is>
          <t>User stories, enablers, tasks and spikes with acceptance criteria, indicative estimates, horizon, priority, owner and dependencies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Backlog ID</t>
        </is>
      </c>
      <c r="B4" s="11" t="inlineStr">
        <is>
          <t>Feature ID</t>
        </is>
      </c>
      <c r="C4" s="11" t="inlineStr">
        <is>
          <t>Feature (lookup)</t>
        </is>
      </c>
      <c r="D4" s="11" t="inlineStr">
        <is>
          <t>Type</t>
        </is>
      </c>
      <c r="E4" s="11" t="inlineStr">
        <is>
          <t>Title / user story</t>
        </is>
      </c>
      <c r="F4" s="11" t="inlineStr">
        <is>
          <t>Acceptance criteria / definition of done</t>
        </is>
      </c>
      <c r="G4" s="11" t="inlineStr">
        <is>
          <t>Story points (indicative)</t>
        </is>
      </c>
      <c r="H4" s="11" t="inlineStr">
        <is>
          <t>Horizon</t>
        </is>
      </c>
      <c r="I4" s="11" t="inlineStr">
        <is>
          <t>Priority</t>
        </is>
      </c>
      <c r="J4" s="11" t="inlineStr">
        <is>
          <t>Owner / team</t>
        </is>
      </c>
      <c r="K4" s="11" t="inlineStr">
        <is>
          <t>Dependencies (epics)</t>
        </is>
      </c>
      <c r="L4" s="11" t="inlineStr">
        <is>
          <t>Sprint (to assign)</t>
        </is>
      </c>
      <c r="M4" s="11" t="inlineStr">
        <is>
          <t>Status</t>
        </is>
      </c>
      <c r="N4" s="11" t="inlineStr">
        <is>
          <t>Decision</t>
        </is>
      </c>
      <c r="O4" s="11" t="inlineStr">
        <is>
          <t>Review comment</t>
        </is>
      </c>
    </row>
    <row r="5" ht="28.2" customHeight="1">
      <c r="A5" s="12" t="inlineStr">
        <is>
          <t>E20-BL-001</t>
        </is>
      </c>
      <c r="B5" s="12" t="inlineStr">
        <is>
          <t>E20-F01</t>
        </is>
      </c>
      <c r="C5" s="13">
        <f>IFERROR(INDEX('Feature List'!$B$5:$B$10,MATCH(B5,'Feature List'!$A$5:$A$10,0)),"")</f>
        <v/>
      </c>
      <c r="D5" s="12" t="inlineStr">
        <is>
          <t>Enabler</t>
        </is>
      </c>
      <c r="E5" s="13" t="inlineStr">
        <is>
          <t>Retarget all environments to the in-country region pair and add an allowed-locations policy to the Terraform landing zone</t>
        </is>
      </c>
      <c r="F5" s="13" t="inlineStr">
        <is>
          <t>No resource outside the jurisdiction in policy compliance report; plan applies cleanly in DEV</t>
        </is>
      </c>
      <c r="G5" s="12" t="n">
        <v>8</v>
      </c>
      <c r="H5" s="12" t="inlineStr">
        <is>
          <t>H1</t>
        </is>
      </c>
      <c r="I5" s="12" t="inlineStr">
        <is>
          <t>P1</t>
        </is>
      </c>
      <c r="J5" s="13" t="inlineStr">
        <is>
          <t>SRE / Platform</t>
        </is>
      </c>
      <c r="K5" s="13" t="inlineStr">
        <is>
          <t>E19</t>
        </is>
      </c>
      <c r="L5" s="16" t="n"/>
      <c r="M5" s="12" t="inlineStr">
        <is>
          <t>Not started</t>
        </is>
      </c>
      <c r="N5" s="15" t="n"/>
      <c r="O5" s="14" t="n"/>
    </row>
    <row r="6" ht="40.8" customHeight="1">
      <c r="A6" s="12" t="inlineStr">
        <is>
          <t>E20-BL-002</t>
        </is>
      </c>
      <c r="B6" s="12" t="inlineStr">
        <is>
          <t>E20-F01</t>
        </is>
      </c>
      <c r="C6" s="13">
        <f>IFERROR(INDEX('Feature List'!$B$5:$B$10,MATCH(B6,'Feature List'!$A$5:$A$10,0)),"")</f>
        <v/>
      </c>
      <c r="D6" s="12" t="inlineStr">
        <is>
          <t>Enabler</t>
        </is>
      </c>
      <c r="E6" s="13" t="inlineStr">
        <is>
          <t>Build the recovery-region stack: warm AKS cluster, async PostgreSQL replica with customer-managed key, replicated registry, immutable backup vault</t>
        </is>
      </c>
      <c r="F6" s="13" t="inlineStr">
        <is>
          <t>Replica lag &lt; 5 min under load; vault deletion lock and dual control verified</t>
        </is>
      </c>
      <c r="G6" s="12" t="n">
        <v>13</v>
      </c>
      <c r="H6" s="12" t="inlineStr">
        <is>
          <t>H1</t>
        </is>
      </c>
      <c r="I6" s="12" t="inlineStr">
        <is>
          <t>P1</t>
        </is>
      </c>
      <c r="J6" s="13" t="inlineStr">
        <is>
          <t>SRE / Platform</t>
        </is>
      </c>
      <c r="K6" s="13" t="inlineStr">
        <is>
          <t>E16, E19</t>
        </is>
      </c>
      <c r="L6" s="16" t="n"/>
      <c r="M6" s="12" t="inlineStr">
        <is>
          <t>Not started</t>
        </is>
      </c>
      <c r="N6" s="15" t="n"/>
      <c r="O6" s="14" t="n"/>
    </row>
    <row r="7" ht="40.8" customHeight="1">
      <c r="A7" s="12" t="inlineStr">
        <is>
          <t>E20-BL-003</t>
        </is>
      </c>
      <c r="B7" s="12" t="inlineStr">
        <is>
          <t>E20-F01</t>
        </is>
      </c>
      <c r="C7" s="13">
        <f>IFERROR(INDEX('Feature List'!$B$5:$B$10,MATCH(B7,'Feature List'!$A$5:$A$10,0)),"")</f>
        <v/>
      </c>
      <c r="D7" s="12" t="inlineStr">
        <is>
          <t>Story</t>
        </is>
      </c>
      <c r="E7" s="13" t="inlineStr">
        <is>
          <t>As the on-call engineer I want a one-command, scripted region failover (promote replica, scale cluster, switch DNS, verify) so that RTO ≤ 15 min is achievable at 3 a.m.</t>
        </is>
      </c>
      <c r="F7" s="13" t="inlineStr">
        <is>
          <t>Automated runbook executes in UAT within 15 min; outbox replay re-sends fitness status after failover</t>
        </is>
      </c>
      <c r="G7" s="12" t="n">
        <v>13</v>
      </c>
      <c r="H7" s="12" t="inlineStr">
        <is>
          <t>H1</t>
        </is>
      </c>
      <c r="I7" s="12" t="inlineStr">
        <is>
          <t>P1</t>
        </is>
      </c>
      <c r="J7" s="13" t="inlineStr">
        <is>
          <t>SRE / Platform</t>
        </is>
      </c>
      <c r="K7" s="13" t="inlineStr">
        <is>
          <t>E15</t>
        </is>
      </c>
      <c r="L7" s="16" t="n"/>
      <c r="M7" s="12" t="inlineStr">
        <is>
          <t>Not started</t>
        </is>
      </c>
      <c r="N7" s="15" t="n"/>
      <c r="O7" s="14" t="n"/>
    </row>
    <row r="8" ht="28.2" customHeight="1">
      <c r="A8" s="12" t="inlineStr">
        <is>
          <t>E20-BL-004</t>
        </is>
      </c>
      <c r="B8" s="12" t="inlineStr">
        <is>
          <t>E20-F02</t>
        </is>
      </c>
      <c r="C8" s="13">
        <f>IFERROR(INDEX('Feature List'!$B$5:$B$10,MATCH(B8,'Feature List'!$A$5:$A$10,0)),"")</f>
        <v/>
      </c>
      <c r="D8" s="12" t="inlineStr">
        <is>
          <t>Enabler</t>
        </is>
      </c>
      <c r="E8" s="13" t="inlineStr">
        <is>
          <t>Define SLOs and error budgets for six critical journeys and implement burn-rate alerts (1 h / 6 h windows) as code</t>
        </is>
      </c>
      <c r="F8" s="13" t="inlineStr">
        <is>
          <t>SLO catalogue approved by product owners; alerts tested by fault injection</t>
        </is>
      </c>
      <c r="G8" s="12" t="n">
        <v>8</v>
      </c>
      <c r="H8" s="12" t="inlineStr">
        <is>
          <t>H1</t>
        </is>
      </c>
      <c r="I8" s="12" t="inlineStr">
        <is>
          <t>P1</t>
        </is>
      </c>
      <c r="J8" s="13" t="inlineStr">
        <is>
          <t>SRE / Platform</t>
        </is>
      </c>
      <c r="K8" s="13" t="inlineStr">
        <is>
          <t>–</t>
        </is>
      </c>
      <c r="L8" s="16" t="n"/>
      <c r="M8" s="12" t="inlineStr">
        <is>
          <t>Not started</t>
        </is>
      </c>
      <c r="N8" s="15" t="n"/>
      <c r="O8" s="14" t="n"/>
    </row>
    <row r="9" ht="28.2" customHeight="1">
      <c r="A9" s="12" t="inlineStr">
        <is>
          <t>E20-BL-005</t>
        </is>
      </c>
      <c r="B9" s="12" t="inlineStr">
        <is>
          <t>E20-F02</t>
        </is>
      </c>
      <c r="C9" s="13">
        <f>IFERROR(INDEX('Feature List'!$B$5:$B$10,MATCH(B9,'Feature List'!$A$5:$A$10,0)),"")</f>
        <v/>
      </c>
      <c r="D9" s="12" t="inlineStr">
        <is>
          <t>Task</t>
        </is>
      </c>
      <c r="E9" s="13" t="inlineStr">
        <is>
          <t>Agree the error-budget policy (release freeze, escalation) with the CIO and product owners</t>
        </is>
      </c>
      <c r="F9" s="13" t="inlineStr">
        <is>
          <t>Signed policy; first monthly SLO report delivered</t>
        </is>
      </c>
      <c r="G9" s="12" t="n">
        <v>2</v>
      </c>
      <c r="H9" s="12" t="inlineStr">
        <is>
          <t>H1</t>
        </is>
      </c>
      <c r="I9" s="12" t="inlineStr">
        <is>
          <t>P2</t>
        </is>
      </c>
      <c r="J9" s="13" t="inlineStr">
        <is>
          <t>Product Owner; SRE</t>
        </is>
      </c>
      <c r="K9" s="13" t="inlineStr">
        <is>
          <t>–</t>
        </is>
      </c>
      <c r="L9" s="16" t="n"/>
      <c r="M9" s="12" t="inlineStr">
        <is>
          <t>Not started</t>
        </is>
      </c>
      <c r="N9" s="15" t="n"/>
      <c r="O9" s="14" t="n"/>
    </row>
    <row r="10" ht="28.2" customHeight="1">
      <c r="A10" s="12" t="inlineStr">
        <is>
          <t>E20-BL-006</t>
        </is>
      </c>
      <c r="B10" s="12" t="inlineStr">
        <is>
          <t>E20-F03</t>
        </is>
      </c>
      <c r="C10" s="13">
        <f>IFERROR(INDEX('Feature List'!$B$5:$B$10,MATCH(B10,'Feature List'!$A$5:$A$10,0)),"")</f>
        <v/>
      </c>
      <c r="D10" s="12" t="inlineStr">
        <is>
          <t>Enabler</t>
        </is>
      </c>
      <c r="E10" s="13" t="inlineStr">
        <is>
          <t>Build a load-test suite with production-shaped synthetic data for 50K staff, 30K crew rosters and five years of case history</t>
        </is>
      </c>
      <c r="F10" s="13" t="inlineStr">
        <is>
          <t>Generator reproducible; no real data; scenarios scripted for campaign, tracing, worklists, exports</t>
        </is>
      </c>
      <c r="G10" s="12" t="n">
        <v>13</v>
      </c>
      <c r="H10" s="12" t="inlineStr">
        <is>
          <t>H1</t>
        </is>
      </c>
      <c r="I10" s="12" t="inlineStr">
        <is>
          <t>P1</t>
        </is>
      </c>
      <c r="J10" s="13" t="inlineStr">
        <is>
          <t>QA; SRE / Platform</t>
        </is>
      </c>
      <c r="K10" s="13" t="inlineStr">
        <is>
          <t>–</t>
        </is>
      </c>
      <c r="L10" s="16" t="n"/>
      <c r="M10" s="12" t="inlineStr">
        <is>
          <t>Not started</t>
        </is>
      </c>
      <c r="N10" s="15" t="n"/>
      <c r="O10" s="14" t="n"/>
    </row>
    <row r="11" ht="28.2" customHeight="1">
      <c r="A11" s="12" t="inlineStr">
        <is>
          <t>E20-BL-007</t>
        </is>
      </c>
      <c r="B11" s="12" t="inlineStr">
        <is>
          <t>E20-F03</t>
        </is>
      </c>
      <c r="C11" s="13">
        <f>IFERROR(INDEX('Feature List'!$B$5:$B$10,MATCH(B11,'Feature List'!$A$5:$A$10,0)),"")</f>
        <v/>
      </c>
      <c r="D11" s="12" t="inlineStr">
        <is>
          <t>Story</t>
        </is>
      </c>
      <c r="E11" s="13" t="inlineStr">
        <is>
          <t>As the CIO I want evidence that the platform sustains 1.5 × forecast peak so that go-live does not depend on assumptions</t>
        </is>
      </c>
      <c r="F11" s="13" t="inlineStr">
        <is>
          <t>Report with p95 / p99 latency, error rate, DB saturation and audit-chain throughput; defects fixed or accepted</t>
        </is>
      </c>
      <c r="G11" s="12" t="n">
        <v>8</v>
      </c>
      <c r="H11" s="12" t="inlineStr">
        <is>
          <t>H1</t>
        </is>
      </c>
      <c r="I11" s="12" t="inlineStr">
        <is>
          <t>P1</t>
        </is>
      </c>
      <c r="J11" s="13" t="inlineStr">
        <is>
          <t>SRE / Platform</t>
        </is>
      </c>
      <c r="K11" s="13" t="inlineStr">
        <is>
          <t>–</t>
        </is>
      </c>
      <c r="L11" s="16" t="n"/>
      <c r="M11" s="12" t="inlineStr">
        <is>
          <t>Not started</t>
        </is>
      </c>
      <c r="N11" s="15" t="n"/>
      <c r="O11" s="14" t="n"/>
    </row>
    <row r="12" ht="28.2" customHeight="1">
      <c r="A12" s="12" t="inlineStr">
        <is>
          <t>E20-BL-008</t>
        </is>
      </c>
      <c r="B12" s="12" t="inlineStr">
        <is>
          <t>E20-F03</t>
        </is>
      </c>
      <c r="C12" s="13">
        <f>IFERROR(INDEX('Feature List'!$B$5:$B$10,MATCH(B12,'Feature List'!$A$5:$A$10,0)),"")</f>
        <v/>
      </c>
      <c r="D12" s="12" t="inlineStr">
        <is>
          <t>Spike</t>
        </is>
      </c>
      <c r="E12" s="13" t="inlineStr">
        <is>
          <t>Assess the audit-chain advisory lock (R9) under load and decide whether partitioned chains are needed</t>
        </is>
      </c>
      <c r="F12" s="13" t="inlineStr">
        <is>
          <t>Measured writes per second vs forecast; decision record</t>
        </is>
      </c>
      <c r="G12" s="12" t="n">
        <v>3</v>
      </c>
      <c r="H12" s="12" t="inlineStr">
        <is>
          <t>H1</t>
        </is>
      </c>
      <c r="I12" s="12" t="inlineStr">
        <is>
          <t>P2</t>
        </is>
      </c>
      <c r="J12" s="13" t="inlineStr">
        <is>
          <t>Platform / Backend</t>
        </is>
      </c>
      <c r="K12" s="13" t="inlineStr">
        <is>
          <t>E16</t>
        </is>
      </c>
      <c r="L12" s="16" t="n"/>
      <c r="M12" s="12" t="inlineStr">
        <is>
          <t>Not started</t>
        </is>
      </c>
      <c r="N12" s="15" t="n"/>
      <c r="O12" s="14" t="n"/>
    </row>
    <row r="13" ht="28.2" customHeight="1">
      <c r="A13" s="12" t="inlineStr">
        <is>
          <t>E20-BL-009</t>
        </is>
      </c>
      <c r="B13" s="12" t="inlineStr">
        <is>
          <t>E20-F04</t>
        </is>
      </c>
      <c r="C13" s="13">
        <f>IFERROR(INDEX('Feature List'!$B$5:$B$10,MATCH(B13,'Feature List'!$A$5:$A$10,0)),"")</f>
        <v/>
      </c>
      <c r="D13" s="12" t="inlineStr">
        <is>
          <t>Enabler</t>
        </is>
      </c>
      <c r="E13" s="13" t="inlineStr">
        <is>
          <t>Introduce chaos experiments in UAT (pod, node, zone, database failover, broker outage, IdP outage) on a monthly schedule</t>
        </is>
      </c>
      <c r="F13" s="13" t="inlineStr">
        <is>
          <t>Experiments run unattended; steady-state hypothesis checked; results published</t>
        </is>
      </c>
      <c r="G13" s="12" t="n">
        <v>8</v>
      </c>
      <c r="H13" s="12" t="inlineStr">
        <is>
          <t>H2</t>
        </is>
      </c>
      <c r="I13" s="12" t="inlineStr">
        <is>
          <t>P2</t>
        </is>
      </c>
      <c r="J13" s="13" t="inlineStr">
        <is>
          <t>SRE / Platform</t>
        </is>
      </c>
      <c r="K13" s="13" t="inlineStr">
        <is>
          <t>E15</t>
        </is>
      </c>
      <c r="L13" s="16" t="n"/>
      <c r="M13" s="12" t="inlineStr">
        <is>
          <t>Not started</t>
        </is>
      </c>
      <c r="N13" s="15" t="n"/>
      <c r="O13" s="14" t="n"/>
    </row>
    <row r="14" ht="28.2" customHeight="1">
      <c r="A14" s="12" t="inlineStr">
        <is>
          <t>E20-BL-010</t>
        </is>
      </c>
      <c r="B14" s="12" t="inlineStr">
        <is>
          <t>E20-F04</t>
        </is>
      </c>
      <c r="C14" s="13">
        <f>IFERROR(INDEX('Feature List'!$B$5:$B$10,MATCH(B14,'Feature List'!$A$5:$A$10,0)),"")</f>
        <v/>
      </c>
      <c r="D14" s="12" t="inlineStr">
        <is>
          <t>Task</t>
        </is>
      </c>
      <c r="E14" s="13" t="inlineStr">
        <is>
          <t>Run the first region failover and isolated restore drill before PROD go-live</t>
        </is>
      </c>
      <c r="F14" s="13" t="inlineStr">
        <is>
          <t>Measured RTO ≤ 15 min, RPO ≤ 5 min; drill report signed by the CIO and Cyber GRC</t>
        </is>
      </c>
      <c r="G14" s="12" t="n">
        <v>5</v>
      </c>
      <c r="H14" s="12" t="inlineStr">
        <is>
          <t>H1</t>
        </is>
      </c>
      <c r="I14" s="12" t="inlineStr">
        <is>
          <t>P1</t>
        </is>
      </c>
      <c r="J14" s="13" t="inlineStr">
        <is>
          <t>SRE / Platform; Cyber GRC</t>
        </is>
      </c>
      <c r="K14" s="13" t="inlineStr">
        <is>
          <t>E19</t>
        </is>
      </c>
      <c r="L14" s="16" t="n"/>
      <c r="M14" s="12" t="inlineStr">
        <is>
          <t>Not started</t>
        </is>
      </c>
      <c r="N14" s="15" t="n"/>
      <c r="O14" s="14" t="n"/>
    </row>
    <row r="15" ht="28.2" customHeight="1">
      <c r="A15" s="12" t="inlineStr">
        <is>
          <t>E20-BL-011</t>
        </is>
      </c>
      <c r="B15" s="12" t="inlineStr">
        <is>
          <t>E20-F05</t>
        </is>
      </c>
      <c r="C15" s="13">
        <f>IFERROR(INDEX('Feature List'!$B$5:$B$10,MATCH(B15,'Feature List'!$A$5:$A$10,0)),"")</f>
        <v/>
      </c>
      <c r="D15" s="12" t="inlineStr">
        <is>
          <t>Enabler</t>
        </is>
      </c>
      <c r="E15" s="13" t="inlineStr">
        <is>
          <t>Expand / contract migration guideline with a Flyway lint in CI that blocks destructive changes in a single release</t>
        </is>
      </c>
      <c r="F15" s="13" t="inlineStr">
        <is>
          <t>Lint rejects DROP / RENAME without contract phase; guideline in developer guide</t>
        </is>
      </c>
      <c r="G15" s="12" t="n">
        <v>5</v>
      </c>
      <c r="H15" s="12" t="inlineStr">
        <is>
          <t>H2</t>
        </is>
      </c>
      <c r="I15" s="12" t="inlineStr">
        <is>
          <t>P2</t>
        </is>
      </c>
      <c r="J15" s="13" t="inlineStr">
        <is>
          <t>Platform / Backend</t>
        </is>
      </c>
      <c r="K15" s="13" t="inlineStr">
        <is>
          <t>–</t>
        </is>
      </c>
      <c r="L15" s="16" t="n"/>
      <c r="M15" s="12" t="inlineStr">
        <is>
          <t>Not started</t>
        </is>
      </c>
      <c r="N15" s="15" t="n"/>
      <c r="O15" s="14" t="n"/>
    </row>
    <row r="16" ht="28.2" customHeight="1">
      <c r="A16" s="12" t="inlineStr">
        <is>
          <t>E20-BL-012</t>
        </is>
      </c>
      <c r="B16" s="12" t="inlineStr">
        <is>
          <t>E20-F05</t>
        </is>
      </c>
      <c r="C16" s="13">
        <f>IFERROR(INDEX('Feature List'!$B$5:$B$10,MATCH(B16,'Feature List'!$A$5:$A$10,0)),"")</f>
        <v/>
      </c>
      <c r="D16" s="12" t="inlineStr">
        <is>
          <t>Enabler</t>
        </is>
      </c>
      <c r="E16" s="13" t="inlineStr">
        <is>
          <t>Canary releases with automated analysis against SLOs and automatic rollback in the promotion pipeline</t>
        </is>
      </c>
      <c r="F16" s="13" t="inlineStr">
        <is>
          <t>Canary of 10 % for 30 min; rollback on SLO breach proven in UAT</t>
        </is>
      </c>
      <c r="G16" s="12" t="n">
        <v>8</v>
      </c>
      <c r="H16" s="12" t="inlineStr">
        <is>
          <t>H2</t>
        </is>
      </c>
      <c r="I16" s="12" t="inlineStr">
        <is>
          <t>P2</t>
        </is>
      </c>
      <c r="J16" s="13" t="inlineStr">
        <is>
          <t>SRE / Platform</t>
        </is>
      </c>
      <c r="K16" s="13" t="inlineStr">
        <is>
          <t>–</t>
        </is>
      </c>
      <c r="L16" s="16" t="n"/>
      <c r="M16" s="12" t="inlineStr">
        <is>
          <t>Not started</t>
        </is>
      </c>
      <c r="N16" s="15" t="n"/>
      <c r="O16" s="14" t="n"/>
    </row>
    <row r="17" ht="28.2" customHeight="1">
      <c r="A17" s="12" t="inlineStr">
        <is>
          <t>E20-BL-013</t>
        </is>
      </c>
      <c r="B17" s="12" t="inlineStr">
        <is>
          <t>E20-F05</t>
        </is>
      </c>
      <c r="C17" s="13">
        <f>IFERROR(INDEX('Feature List'!$B$5:$B$10,MATCH(B17,'Feature List'!$A$5:$A$10,0)),"")</f>
        <v/>
      </c>
      <c r="D17" s="12" t="inlineStr">
        <is>
          <t>Story</t>
        </is>
      </c>
      <c r="E17" s="13" t="inlineStr">
        <is>
          <t>As a release manager I want feature flags with owner, expiry and audit so that dark launches do not become permanent configuration</t>
        </is>
      </c>
      <c r="F17" s="13" t="inlineStr">
        <is>
          <t>Flag register; expired flags fail the build; flag change audited</t>
        </is>
      </c>
      <c r="G17" s="12" t="n">
        <v>5</v>
      </c>
      <c r="H17" s="12" t="inlineStr">
        <is>
          <t>H2</t>
        </is>
      </c>
      <c r="I17" s="12" t="inlineStr">
        <is>
          <t>P3</t>
        </is>
      </c>
      <c r="J17" s="13" t="inlineStr">
        <is>
          <t>Platform / Backend</t>
        </is>
      </c>
      <c r="K17" s="13" t="inlineStr">
        <is>
          <t>E18</t>
        </is>
      </c>
      <c r="L17" s="16" t="n"/>
      <c r="M17" s="12" t="inlineStr">
        <is>
          <t>Not started</t>
        </is>
      </c>
      <c r="N17" s="15" t="n"/>
      <c r="O17" s="14" t="n"/>
    </row>
    <row r="18" ht="28.2" customHeight="1">
      <c r="A18" s="12" t="inlineStr">
        <is>
          <t>E20-BL-014</t>
        </is>
      </c>
      <c r="B18" s="12" t="inlineStr">
        <is>
          <t>E20-F06</t>
        </is>
      </c>
      <c r="C18" s="13">
        <f>IFERROR(INDEX('Feature List'!$B$5:$B$10,MATCH(B18,'Feature List'!$A$5:$A$10,0)),"")</f>
        <v/>
      </c>
      <c r="D18" s="12" t="inlineStr">
        <is>
          <t>Task</t>
        </is>
      </c>
      <c r="E18" s="13" t="inlineStr">
        <is>
          <t>Set up 24×7 on-call, runbook per paging alert, synthetic probes per region and the post-incident review process</t>
        </is>
      </c>
      <c r="F18" s="13" t="inlineStr">
        <is>
          <t>Rota staffed; probes from both regions; first review published</t>
        </is>
      </c>
      <c r="G18" s="12" t="n">
        <v>5</v>
      </c>
      <c r="H18" s="12" t="inlineStr">
        <is>
          <t>H1</t>
        </is>
      </c>
      <c r="I18" s="12" t="inlineStr">
        <is>
          <t>P1</t>
        </is>
      </c>
      <c r="J18" s="13" t="inlineStr">
        <is>
          <t>SRE / Platform</t>
        </is>
      </c>
      <c r="K18" s="13" t="inlineStr">
        <is>
          <t>–</t>
        </is>
      </c>
      <c r="L18" s="16" t="n"/>
      <c r="M18" s="12" t="inlineStr">
        <is>
          <t>Not started</t>
        </is>
      </c>
      <c r="N18" s="15" t="n"/>
      <c r="O18" s="14" t="n"/>
    </row>
    <row r="19" ht="28.2" customHeight="1">
      <c r="A19" s="12" t="inlineStr">
        <is>
          <t>E20-BL-015</t>
        </is>
      </c>
      <c r="B19" s="12" t="inlineStr">
        <is>
          <t>E20-F06</t>
        </is>
      </c>
      <c r="C19" s="13">
        <f>IFERROR(INDEX('Feature List'!$B$5:$B$10,MATCH(B19,'Feature List'!$A$5:$A$10,0)),"")</f>
        <v/>
      </c>
      <c r="D19" s="12" t="inlineStr">
        <is>
          <t>Task</t>
        </is>
      </c>
      <c r="E19" s="13" t="inlineStr">
        <is>
          <t>Document and exercise the manual fallback for fitness-for-duty decisions with crew scheduling and the CMO</t>
        </is>
      </c>
      <c r="F19" s="13" t="inlineStr">
        <is>
          <t>Tabletop completed; fallback form and contact tree approved</t>
        </is>
      </c>
      <c r="G19" s="12" t="n">
        <v>3</v>
      </c>
      <c r="H19" s="12" t="inlineStr">
        <is>
          <t>H1</t>
        </is>
      </c>
      <c r="I19" s="12" t="inlineStr">
        <is>
          <t>P1</t>
        </is>
      </c>
      <c r="J19" s="13" t="inlineStr">
        <is>
          <t>Clinical SME (OH Nurse / Physician); Crew scheduling</t>
        </is>
      </c>
      <c r="K19" s="13" t="inlineStr">
        <is>
          <t>E05</t>
        </is>
      </c>
      <c r="L19" s="16" t="n"/>
      <c r="M19" s="12" t="inlineStr">
        <is>
          <t>Not started</t>
        </is>
      </c>
      <c r="N19" s="15" t="n"/>
      <c r="O19" s="14" t="n"/>
    </row>
    <row r="21">
      <c r="E21" s="17" t="inlineStr">
        <is>
          <t>Total story points (indicative)</t>
        </is>
      </c>
      <c r="G21" s="18">
        <f>SUM(G5:G19)</f>
        <v/>
      </c>
    </row>
    <row r="22">
      <c r="E22" s="17" t="inlineStr">
        <is>
          <t>Items</t>
        </is>
      </c>
      <c r="G22" s="18">
        <f>COUNTA(A5:A19)</f>
        <v/>
      </c>
    </row>
  </sheetData>
  <autoFilter ref="A4:O19"/>
  <mergeCells count="3">
    <mergeCell ref="A1:O1"/>
    <mergeCell ref="A3:O3"/>
    <mergeCell ref="A2:O2"/>
  </mergeCells>
  <conditionalFormatting sqref="I5:I19">
    <cfRule type="cellIs" priority="1" operator="equal" dxfId="0">
      <formula>"P1"</formula>
    </cfRule>
  </conditionalFormatting>
  <dataValidations count="5">
    <dataValidation sqref="M5:M19" showDropDown="0" showInputMessage="0" showErrorMessage="0" allowBlank="1" type="list">
      <formula1>"Not started,In analysis,Ready,In progress,Done,Deferred"</formula1>
    </dataValidation>
    <dataValidation sqref="N5:N19" showDropDown="0" showInputMessage="0" showErrorMessage="0" allowBlank="1" type="list">
      <formula1>"Accept,Modify,Reject,Defer"</formula1>
    </dataValidation>
    <dataValidation sqref="H5:H19" showDropDown="0" showInputMessage="0" showErrorMessage="0" allowBlank="1" type="list">
      <formula1>"H1,H2,H3"</formula1>
    </dataValidation>
    <dataValidation sqref="I5:I19" showDropDown="0" showInputMessage="0" showErrorMessage="0" allowBlank="1" type="list">
      <formula1>"P1,P2,P3"</formula1>
    </dataValidation>
    <dataValidation sqref="D5:D19" showDropDown="0" showInputMessage="0" showErrorMessage="0" allowBlank="1" type="list">
      <formula1>"Story,Enabler,Task,Spike"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17.35" customHeight="1">
      <c r="A1" s="1" t="inlineStr">
        <is>
          <t>Legends – unit codes, standards, horizons, owners</t>
        </is>
      </c>
    </row>
    <row r="2" ht="15" customHeight="1">
      <c r="A2" s="2" t="inlineStr">
        <is>
          <t>Reference for codes used in this workbook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Code</t>
        </is>
      </c>
      <c r="B4" s="11" t="inlineStr">
        <is>
          <t>Meaning</t>
        </is>
      </c>
    </row>
    <row r="5" ht="15.6" customHeight="1">
      <c r="A5" s="13" t="inlineStr">
        <is>
          <t>ALL</t>
        </is>
      </c>
      <c r="B5" s="13" t="inlineStr">
        <is>
          <t>All subsidiaries &amp; departments (group-wide)</t>
        </is>
      </c>
    </row>
    <row r="6" ht="15.6" customHeight="1">
      <c r="A6" s="13" t="inlineStr">
        <is>
          <t>FLT</t>
        </is>
      </c>
      <c r="B6" s="13" t="inlineStr">
        <is>
          <t>Flight Operations – pilots / flight crew</t>
        </is>
      </c>
    </row>
    <row r="7" ht="15.6" customHeight="1">
      <c r="A7" s="13" t="inlineStr">
        <is>
          <t>CAB</t>
        </is>
      </c>
      <c r="B7" s="13" t="inlineStr">
        <is>
          <t>Cabin Services – cabin crew</t>
        </is>
      </c>
    </row>
    <row r="8" ht="15.6" customHeight="1">
      <c r="A8" s="13" t="inlineStr">
        <is>
          <t>GND</t>
        </is>
      </c>
      <c r="B8" s="13" t="inlineStr">
        <is>
          <t>Ground Services – ramp, baggage, aircraft turnaround, GSE drivers</t>
        </is>
      </c>
    </row>
    <row r="9" ht="15.6" customHeight="1">
      <c r="A9" s="13" t="inlineStr">
        <is>
          <t>CGO</t>
        </is>
      </c>
      <c r="B9" s="13" t="inlineStr">
        <is>
          <t>Cargo &amp; Freight – warehouse, DGR/hazmat handling, cold chain, forklift</t>
        </is>
      </c>
    </row>
    <row r="10" ht="15.6" customHeight="1">
      <c r="A10" s="13" t="inlineStr">
        <is>
          <t>CAT</t>
        </is>
      </c>
      <c r="B10" s="13" t="inlineStr">
        <is>
          <t>Catering – food production, food handlers, cold rooms, dish-wash, knives</t>
        </is>
      </c>
    </row>
    <row r="11" ht="15.6" customHeight="1">
      <c r="A11" s="13" t="inlineStr">
        <is>
          <t>ENG</t>
        </is>
      </c>
      <c r="B11" s="13" t="inlineStr">
        <is>
          <t>Engineering &amp; Maintenance – hangar, hazmat/chemicals, noise, heights, confined space</t>
        </is>
      </c>
    </row>
    <row r="12" ht="15.6" customHeight="1">
      <c r="A12" s="13" t="inlineStr">
        <is>
          <t>SEC</t>
        </is>
      </c>
      <c r="B12" s="13" t="inlineStr">
        <is>
          <t>Security, Fire &amp; Rescue, Medical Response</t>
        </is>
      </c>
    </row>
    <row r="13" ht="15.6" customHeight="1">
      <c r="A13" s="13" t="inlineStr">
        <is>
          <t>H1</t>
        </is>
      </c>
      <c r="B13" s="13" t="inlineStr">
        <is>
          <t>Horizon 1 – Go-live readiness and close the gaps (months 0–6)</t>
        </is>
      </c>
    </row>
    <row r="14" ht="15.6" customHeight="1">
      <c r="A14" s="13" t="inlineStr">
        <is>
          <t>H2</t>
        </is>
      </c>
      <c r="B14" s="13" t="inlineStr">
        <is>
          <t>Horizon 2 – Scale, intelligence and experience (months 6–18)</t>
        </is>
      </c>
    </row>
    <row r="15" ht="15.6" customHeight="1">
      <c r="A15" s="13" t="inlineStr">
        <is>
          <t>H3</t>
        </is>
      </c>
      <c r="B15" s="13" t="inlineStr">
        <is>
          <t>Horizon 3 – Ecosystem and industry-leading OH platform (months 18–36)</t>
        </is>
      </c>
    </row>
    <row r="16" ht="15.6" customHeight="1">
      <c r="A16" s="13" t="inlineStr">
        <is>
          <t>P1 / P2 / P3</t>
        </is>
      </c>
      <c r="B16" s="13" t="inlineStr">
        <is>
          <t>Backlog priority: P1 critical, P2 important, P3 desirable</t>
        </is>
      </c>
    </row>
    <row r="17" ht="15.6" customHeight="1">
      <c r="A17" s="13" t="inlineStr">
        <is>
          <t>ISO45001</t>
        </is>
      </c>
      <c r="B17" s="13" t="inlineStr">
        <is>
          <t>ISO 45001:2018 – OH&amp;S management systems</t>
        </is>
      </c>
    </row>
    <row r="18" ht="15.6" customHeight="1">
      <c r="A18" s="13" t="inlineStr">
        <is>
          <t>ISO45003</t>
        </is>
      </c>
      <c r="B18" s="13" t="inlineStr">
        <is>
          <t>ISO 45003:2021 – psychological health &amp; safety / psychosocial risk</t>
        </is>
      </c>
    </row>
    <row r="19" ht="15.6" customHeight="1">
      <c r="A19" s="13" t="inlineStr">
        <is>
          <t>ISO27001</t>
        </is>
      </c>
      <c r="B19" s="13" t="inlineStr">
        <is>
          <t>ISO/IEC 27001:2022 – information security management, Annex A</t>
        </is>
      </c>
    </row>
    <row r="20" ht="15.6" customHeight="1">
      <c r="A20" s="13" t="inlineStr">
        <is>
          <t>ISO27017</t>
        </is>
      </c>
      <c r="B20" s="13" t="inlineStr">
        <is>
          <t>ISO/IEC 27017 – information security controls for cloud services (tenant segregation)</t>
        </is>
      </c>
    </row>
    <row r="21" ht="15.6" customHeight="1">
      <c r="A21" s="13" t="inlineStr">
        <is>
          <t>ISO27701</t>
        </is>
      </c>
      <c r="B21" s="13" t="inlineStr">
        <is>
          <t>ISO/IEC 27701 – privacy information management</t>
        </is>
      </c>
    </row>
    <row r="22" ht="15.6" customHeight="1">
      <c r="A22" s="13" t="inlineStr">
        <is>
          <t>ISO22301</t>
        </is>
      </c>
      <c r="B22" s="13" t="inlineStr">
        <is>
          <t>ISO 22301 – business continuity management</t>
        </is>
      </c>
    </row>
    <row r="23" ht="15.6" customHeight="1">
      <c r="A23" s="13" t="inlineStr">
        <is>
          <t>ISO20889</t>
        </is>
      </c>
      <c r="B23" s="13" t="inlineStr">
        <is>
          <t>ISO/IEC 20889 – privacy-enhancing data de-identification techniques</t>
        </is>
      </c>
    </row>
    <row r="24" ht="15.6" customHeight="1">
      <c r="A24" s="13" t="inlineStr">
        <is>
          <t>ISO25012</t>
        </is>
      </c>
      <c r="B24" s="13" t="inlineStr">
        <is>
          <t>ISO/IEC 25012 – data quality model</t>
        </is>
      </c>
    </row>
    <row r="25" ht="15.6" customHeight="1">
      <c r="A25" s="13" t="inlineStr">
        <is>
          <t>ISO42001</t>
        </is>
      </c>
      <c r="B25" s="13" t="inlineStr">
        <is>
          <t>ISO/IEC 42001 – AI management system</t>
        </is>
      </c>
    </row>
    <row r="26" ht="15.6" customHeight="1">
      <c r="A26" s="13" t="inlineStr">
        <is>
          <t>ISO23894</t>
        </is>
      </c>
      <c r="B26" s="13" t="inlineStr">
        <is>
          <t>ISO/IEC 23894 – AI risk management</t>
        </is>
      </c>
    </row>
    <row r="27" ht="15.6" customHeight="1">
      <c r="A27" s="13" t="inlineStr">
        <is>
          <t>NIST-AI-RMF</t>
        </is>
      </c>
      <c r="B27" s="13" t="inlineStr">
        <is>
          <t>NIST AI Risk Management Framework 1.0</t>
        </is>
      </c>
    </row>
    <row r="28" ht="15.6" customHeight="1">
      <c r="A28" s="13" t="inlineStr">
        <is>
          <t>EU-AI-ACT</t>
        </is>
      </c>
      <c r="B28" s="13" t="inlineStr">
        <is>
          <t>Reg (EU) 2024/1689 (AI Act) – used as benchmark for risk classification, human oversight and transparency; local AI regulation applies</t>
        </is>
      </c>
    </row>
    <row r="29" ht="15.6" customHeight="1">
      <c r="A29" s="13" t="inlineStr">
        <is>
          <t>DCB0129</t>
        </is>
      </c>
      <c r="B29" s="13" t="inlineStr">
        <is>
          <t>DCB0129 / DCB0160 – clinical risk management for health IT manufacture and deployment (UK standards, used as benchmark)</t>
        </is>
      </c>
    </row>
    <row r="30" ht="15.6" customHeight="1">
      <c r="A30" s="13" t="inlineStr">
        <is>
          <t>SOC2</t>
        </is>
      </c>
      <c r="B30" s="13" t="inlineStr">
        <is>
          <t>AICPA Trust Services Criteria – CC (security), A (availability), C (confidentiality), PI, P</t>
        </is>
      </c>
    </row>
    <row r="31" ht="15.6" customHeight="1">
      <c r="A31" s="13" t="inlineStr">
        <is>
          <t>SRE</t>
        </is>
      </c>
      <c r="B31" s="13" t="inlineStr">
        <is>
          <t>Site reliability engineering practice – service-level objectives, error budgets, burn-rate alerting</t>
        </is>
      </c>
    </row>
    <row r="32" ht="15.6" customHeight="1">
      <c r="A32" s="13" t="inlineStr">
        <is>
          <t>CIS-K8S</t>
        </is>
      </c>
      <c r="B32" s="13" t="inlineStr">
        <is>
          <t>CIS Kubernetes / AKS benchmarks</t>
        </is>
      </c>
    </row>
    <row r="33" ht="15.6" customHeight="1">
      <c r="A33" s="13" t="inlineStr">
        <is>
          <t>NIST-SSDF</t>
        </is>
      </c>
      <c r="B33" s="13" t="inlineStr">
        <is>
          <t>NIST SP 800-218 Secure Software Development Framework</t>
        </is>
      </c>
    </row>
    <row r="34" ht="15.6" customHeight="1">
      <c r="A34" s="13" t="inlineStr">
        <is>
          <t>SLSA</t>
        </is>
      </c>
      <c r="B34" s="13" t="inlineStr">
        <is>
          <t>Supply-chain Levels for Software Artifacts – build provenance</t>
        </is>
      </c>
    </row>
    <row r="35" ht="15.6" customHeight="1">
      <c r="A35" s="13" t="inlineStr">
        <is>
          <t>OWASP-MASVS</t>
        </is>
      </c>
      <c r="B35" s="13" t="inlineStr">
        <is>
          <t>OWASP Mobile Application Security Verification Standard v2</t>
        </is>
      </c>
    </row>
    <row r="36" ht="15.6" customHeight="1">
      <c r="A36" s="13" t="inlineStr">
        <is>
          <t>WCAG22</t>
        </is>
      </c>
      <c r="B36" s="13" t="inlineStr">
        <is>
          <t>W3C Web Content Accessibility Guidelines 2.2, level AA</t>
        </is>
      </c>
    </row>
    <row r="37" ht="15.6" customHeight="1">
      <c r="A37" s="13" t="inlineStr">
        <is>
          <t>EN301549</t>
        </is>
      </c>
      <c r="B37" s="13" t="inlineStr">
        <is>
          <t>EN 301 549 – accessibility requirements for ICT products and services</t>
        </is>
      </c>
    </row>
    <row r="38" ht="15.6" customHeight="1">
      <c r="A38" s="13" t="inlineStr">
        <is>
          <t>PDF-UA</t>
        </is>
      </c>
      <c r="B38" s="13" t="inlineStr">
        <is>
          <t>ISO 14289 – accessible PDF</t>
        </is>
      </c>
    </row>
    <row r="39" ht="15.6" customHeight="1">
      <c r="A39" s="13" t="inlineStr">
        <is>
          <t>HL7-FHIR</t>
        </is>
      </c>
      <c r="B39" s="13" t="inlineStr">
        <is>
          <t>HL7 FHIR R4 / R4B / R5 incl. subscriptions; SMART App Launch</t>
        </is>
      </c>
    </row>
    <row r="40" ht="15.6" customHeight="1">
      <c r="A40" s="13" t="inlineStr">
        <is>
          <t>HL7-ODH</t>
        </is>
      </c>
      <c r="B40" s="13" t="inlineStr">
        <is>
          <t>HL7 FHIR Occupational Data for Health (ODH) IG</t>
        </is>
      </c>
    </row>
    <row r="41" ht="15.6" customHeight="1">
      <c r="A41" s="13" t="inlineStr">
        <is>
          <t>HL7-V2</t>
        </is>
      </c>
      <c r="B41" s="13" t="inlineStr">
        <is>
          <t>HL7 version 2.5.1 messaging (ORU, ORM, ADT)</t>
        </is>
      </c>
    </row>
    <row r="42" ht="15.6" customHeight="1">
      <c r="A42" s="13" t="inlineStr">
        <is>
          <t>IHE</t>
        </is>
      </c>
      <c r="B42" s="13" t="inlineStr">
        <is>
          <t>IHE IT Infrastructure profiles – MHD, XDS.b, PIXm, PDQm, ATNA, IUA</t>
        </is>
      </c>
    </row>
    <row r="43" ht="15.6" customHeight="1">
      <c r="A43" s="13" t="inlineStr">
        <is>
          <t>SNOMED-ICD</t>
        </is>
      </c>
      <c r="B43" s="13" t="inlineStr">
        <is>
          <t>SNOMED CT / ICD-10 or ICD-11 / LOINC – clinical, diagnosis and lab coding</t>
        </is>
      </c>
    </row>
    <row r="44" ht="15.6" customHeight="1">
      <c r="A44" s="13" t="inlineStr">
        <is>
          <t>EASA-MED</t>
        </is>
      </c>
      <c r="B44" s="13" t="inlineStr">
        <is>
          <t>EASA Part-MED (Reg (EU) 1178/2011 Annex IV) – pilot medical certificates, cabin crew medical reports</t>
        </is>
      </c>
    </row>
    <row r="45" ht="15.6" customHeight="1">
      <c r="A45" s="13" t="inlineStr">
        <is>
          <t>ICAO-A1</t>
        </is>
      </c>
      <c r="B45" s="13" t="inlineStr">
        <is>
          <t>ICAO Annex 1 Ch. 6 – medical provisions for licensing</t>
        </is>
      </c>
    </row>
    <row r="46" ht="15.6" customHeight="1">
      <c r="A46" s="13" t="inlineStr">
        <is>
          <t>ICAO-A6</t>
        </is>
      </c>
      <c r="B46" s="13" t="inlineStr">
        <is>
          <t>ICAO Annex 6 – operator responsibilities incl. fatigue management (FRMS); ICAO Doc 9966 FRMS manual</t>
        </is>
      </c>
    </row>
    <row r="47" ht="15.6" customHeight="1">
      <c r="A47" s="13" t="inlineStr">
        <is>
          <t>ICAO-8984</t>
        </is>
      </c>
      <c r="B47" s="13" t="inlineStr">
        <is>
          <t>ICAO Doc 8984 – Manual of Civil Aviation Medicine</t>
        </is>
      </c>
    </row>
    <row r="48" ht="15.6" customHeight="1">
      <c r="A48" s="13" t="inlineStr">
        <is>
          <t>IOSA</t>
        </is>
      </c>
      <c r="B48" s="13" t="inlineStr">
        <is>
          <t>IATA Operational Safety Audit – crew fitness and SMS standards</t>
        </is>
      </c>
    </row>
    <row r="49" ht="15.6" customHeight="1">
      <c r="A49" s="13" t="inlineStr">
        <is>
          <t>ILO-C161</t>
        </is>
      </c>
      <c r="B49" s="13" t="inlineStr">
        <is>
          <t>ILO Convention C161 – occupational health services</t>
        </is>
      </c>
    </row>
    <row r="50" ht="15.6" customHeight="1">
      <c r="A50" s="13" t="inlineStr">
        <is>
          <t>WHO-IHR</t>
        </is>
      </c>
      <c r="B50" s="13" t="inlineStr">
        <is>
          <t>WHO International Health Regulations – preparedness and reporting</t>
        </is>
      </c>
    </row>
    <row r="51" ht="15.6" customHeight="1">
      <c r="A51" s="13" t="inlineStr">
        <is>
          <t>HIMSS</t>
        </is>
      </c>
      <c r="B51" s="13" t="inlineStr">
        <is>
          <t>HIMSS Digital Health Indicator (incl. interoperability, person-enabled health, predictive analytics)</t>
        </is>
      </c>
    </row>
    <row r="52" ht="15.6" customHeight="1">
      <c r="A52" s="13" t="inlineStr">
        <is>
          <t>LOCAL-OHS</t>
        </is>
      </c>
      <c r="B52" s="13" t="inlineStr">
        <is>
          <t>Local labour law, national OH&amp;S regulation and civil aviation authority medical requirements (e.g. UK CAA, UAE GCAA)</t>
        </is>
      </c>
    </row>
    <row r="53" ht="15.6" customHeight="1">
      <c r="A53" s="13" t="inlineStr">
        <is>
          <t>LOCAL-PDP</t>
        </is>
      </c>
      <c r="B53" s="13" t="inlineStr">
        <is>
          <t>Local personal-data-protection law + GDPR Art. 9 (special-category health data) as benchmark</t>
        </is>
      </c>
    </row>
    <row r="54" ht="15.6" customHeight="1">
      <c r="A54" s="13" t="inlineStr">
        <is>
          <t>Type: Story</t>
        </is>
      </c>
      <c r="B54" s="13" t="inlineStr">
        <is>
          <t>User-facing functionality expressed as a user story</t>
        </is>
      </c>
    </row>
    <row r="55" ht="15.6" customHeight="1">
      <c r="A55" s="13" t="inlineStr">
        <is>
          <t>Type: Enabler</t>
        </is>
      </c>
      <c r="B55" s="13" t="inlineStr">
        <is>
          <t>Architectural / technical foundation work</t>
        </is>
      </c>
    </row>
    <row r="56" ht="15.6" customHeight="1">
      <c r="A56" s="13" t="inlineStr">
        <is>
          <t>Type: Task</t>
        </is>
      </c>
      <c r="B56" s="13" t="inlineStr">
        <is>
          <t>Non-development work (content, configuration, governance, training, procurement)</t>
        </is>
      </c>
    </row>
    <row r="57" ht="15.6" customHeight="1">
      <c r="A57" s="13" t="inlineStr">
        <is>
          <t>Type: Spike</t>
        </is>
      </c>
      <c r="B57" s="13" t="inlineStr">
        <is>
          <t>Time-boxed investigation to remove uncertainty</t>
        </is>
      </c>
    </row>
  </sheetData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WellnessZ Product &amp; Architecture</dc:creator>
  <dc:title xmlns:dc="http://purl.org/dc/elements/1.1/">E20 – Resilience &amp; Tier-0 Operations (SRE)</dc:title>
  <dc:subject xmlns:dc="http://purl.org/dc/elements/1.1/">WellnessZ OHCM – strategy epic workbook</dc:subject>
  <dcterms:created xmlns:dcterms="http://purl.org/dc/terms/" xmlns:xsi="http://www.w3.org/2001/XMLSchema-instance" xsi:type="dcterms:W3CDTF">2026-10-30T13:11:13Z</dcterms:created>
  <dcterms:modified xmlns:dcterms="http://purl.org/dc/terms/" xmlns:xsi="http://www.w3.org/2001/XMLSchema-instance" xsi:type="dcterms:W3CDTF">2026-10-30T13:11:13Z</dcterms:modified>
</cp:coreProperties>
</file>