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 Overview" sheetId="1" state="visible" r:id="rId1"/>
    <sheet xmlns:r="http://schemas.openxmlformats.org/officeDocument/2006/relationships" name="High-Level Requirements" sheetId="2" state="visible" r:id="rId2"/>
    <sheet xmlns:r="http://schemas.openxmlformats.org/officeDocument/2006/relationships" name="Feature List" sheetId="3" state="visible" r:id="rId3"/>
    <sheet xmlns:r="http://schemas.openxmlformats.org/officeDocument/2006/relationships" name="Implementation Backlog" sheetId="4" state="visible" r:id="rId4"/>
    <sheet xmlns:r="http://schemas.openxmlformats.org/officeDocument/2006/relationships" name="Legends" sheetId="5" state="visible" r:id="rId5"/>
  </sheets>
  <definedNames>
    <definedName name="_xlnm.Print_Titles" localSheetId="0">'Epic Overview'!$4:$4</definedName>
    <definedName name="_xlnm._FilterDatabase" localSheetId="1" hidden="1">'High-Level Requirements'!$A$4:$H$9</definedName>
    <definedName name="_xlnm.Print_Titles" localSheetId="1">'High-Level Requirements'!$4:$4</definedName>
    <definedName name="_xlnm._FilterDatabase" localSheetId="2" hidden="1">'Feature List'!$A$4:$J$9</definedName>
    <definedName name="_xlnm.Print_Titles" localSheetId="2">'Feature List'!$4:$4</definedName>
    <definedName name="_xlnm._FilterDatabase" localSheetId="3" hidden="1">'Implementation Backlog'!$A$4:$O$16</definedName>
    <definedName name="_xlnm.Print_Titles" localSheetId="3">'Implementation Backlog'!$4:$4</definedName>
    <definedName name="_xlnm.Print_Titles" localSheetId="4">'Legends'!$4:$4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595959"/>
      <sz val="10"/>
    </font>
    <font>
      <name val="Arial"/>
      <color rgb="FF7F7F7F"/>
      <sz val="9"/>
    </font>
    <font>
      <name val="Arial"/>
      <b val="1"/>
      <color rgb="FF1F3864"/>
      <sz val="10"/>
    </font>
    <font>
      <name val="Arial"/>
      <color rgb="FF000000"/>
      <sz val="10"/>
    </font>
    <font>
      <name val="Arial"/>
      <b val="1"/>
      <color rgb="FF1F3864"/>
      <sz val="11"/>
    </font>
    <font>
      <name val="Arial"/>
      <b val="1"/>
      <color rgb="FF000000"/>
      <sz val="10"/>
    </font>
    <font>
      <name val="Arial"/>
      <color rgb="FF404040"/>
      <sz val="9"/>
    </font>
    <font>
      <name val="Arial"/>
      <b val="1"/>
      <color rgb="FF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/>
    </xf>
    <xf numFmtId="0" fontId="8" fillId="0" borderId="0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2" customWidth="1" min="3" max="3"/>
  </cols>
  <sheetData>
    <row r="1" ht="17.35" customHeight="1">
      <c r="A1" s="1" t="inlineStr">
        <is>
          <t>E22 – Native Mobile, Offline &amp; Field Capability</t>
        </is>
      </c>
    </row>
    <row r="2" ht="15" customHeight="1">
      <c r="A2" s="2" t="inlineStr">
        <is>
          <t>Epic overview, scope, value, KPIs and summary metrics (review with the C-suite sponsor, CIO, CMO / Nursing Head and Cyber GRC)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5" ht="15.6" customHeight="1">
      <c r="A5" s="4" t="inlineStr">
        <is>
          <t>Epic ID</t>
        </is>
      </c>
      <c r="B5" s="5" t="inlineStr">
        <is>
          <t>E22</t>
        </is>
      </c>
    </row>
    <row r="6" ht="15.6" customHeight="1">
      <c r="A6" s="4" t="inlineStr">
        <is>
          <t>Epic name</t>
        </is>
      </c>
      <c r="B6" s="5" t="inlineStr">
        <is>
          <t>Native Mobile, Offline &amp; Field Capability</t>
        </is>
      </c>
    </row>
    <row r="7" ht="40.8" customHeight="1">
      <c r="A7" s="4" t="inlineStr">
        <is>
          <t>Goal</t>
        </is>
      </c>
      <c r="B7" s="5" t="inlineStr">
        <is>
          <t>Turn the Capacitor shell into a production crew and field app: secure on-device storage and app-protection policies, offline-tolerant capture at airside first-aid posts and for telephone triage with an encrypted queue and safe sync, NFC badge scan, content-free push notifications with per-user channel preferences, and crew features that work on layover.</t>
        </is>
      </c>
      <c r="C7" s="6" t="n"/>
    </row>
    <row r="8" ht="40.8" customHeight="1">
      <c r="A8" s="4" t="inlineStr">
        <is>
          <t>Business value</t>
        </is>
      </c>
      <c r="B8" s="5" t="inlineStr">
        <is>
          <t>Most OH demand comes from a dispersed 24×7 workforce: ramp, cargo, catering, engineering and crew away from base. A first-aid post that cannot register an encounter when the network drops loses the case and the evidence. Push and a status wallet (medical certificate, travel vaccinations) reduce lapses and missed appointments.</t>
        </is>
      </c>
      <c r="C8" s="6" t="n"/>
    </row>
    <row r="9" ht="78.59999999999999" customHeight="1">
      <c r="A9" s="4" t="inlineStr">
        <is>
          <t>In scope</t>
        </is>
      </c>
      <c r="B9" s="5" t="inlineStr">
        <is>
          <t>• Secure storage (Keychain / Keystore) and app-protection SDK (MAM) – store and MDM release
• Offline capture for first-aid posts and telephone triage: minimal dataset, encrypted local queue, sync and conflict handling
• NFC / badge scan against an HRIS cache for registration under 60 s
• Push notifications (content-free) and per-user channel preferences
• Crew features: status wallet (certificate validity, travel vaccinations), roster-aware reminders, layover access
• Device test matrix, crash reporting without PHI, release engineering</t>
        </is>
      </c>
      <c r="C9" s="6" t="n"/>
    </row>
    <row r="10" ht="40.8" customHeight="1">
      <c r="A10" s="4" t="inlineStr">
        <is>
          <t>Out of scope</t>
        </is>
      </c>
      <c r="B10" s="5" t="inlineStr">
        <is>
          <t>• Offline access to the full clinical record (deliberately not cached)
• Bring-your-own-device policy (client IT)
• Mobile hardening assessment itself (E19 SEC-E11)</t>
        </is>
      </c>
      <c r="C10" s="6" t="n"/>
    </row>
    <row r="11" ht="28.2" customHeight="1">
      <c r="A11" s="4" t="inlineStr">
        <is>
          <t>Primary stakeholders / roles</t>
        </is>
      </c>
      <c r="B11" s="5" t="inlineStr">
        <is>
          <t>Head of Experience; Mobile team; First aiders; Clinic reception; OH nurses on telephone triage; Crew; Client mobility / MDM team; DPO; CISO</t>
        </is>
      </c>
      <c r="C11" s="6" t="n"/>
    </row>
    <row r="12" ht="78.59999999999999" customHeight="1">
      <c r="A12" s="4" t="inlineStr">
        <is>
          <t>Success KPIs</t>
        </is>
      </c>
      <c r="B12" s="5" t="inlineStr">
        <is>
          <t>• First-aid encounter registered in &lt; 60 s, including with no network (E01-HLR-03)
• 0 health data at rest unprotected on devices (MASVS L2 assessment pass)
• Sync conflict rate &lt; 0.5 %; 0 lost offline encounters
• Crash-free sessions ≥ 99.5 %
• App adoption ≥ 70 % of crew within 12 months of release
• Push delivered within 1 minute for ≥ 95 % of messages</t>
        </is>
      </c>
      <c r="C12" s="6" t="n"/>
    </row>
    <row r="13" ht="28.2" customHeight="1">
      <c r="A13" s="4" t="inlineStr">
        <is>
          <t>Dependencies</t>
        </is>
      </c>
      <c r="B13" s="5" t="inlineStr">
        <is>
          <t>E13 Portal / app; E15 Integration (HRIS cache, push provider); E16 Identity (token storage, MFA); E19 Security (SEC-E11 MASVS); decision D4 mobile distribution</t>
        </is>
      </c>
      <c r="C13" s="6" t="n"/>
    </row>
    <row r="14" ht="53.4" customHeight="1">
      <c r="A14" s="4" t="inlineStr">
        <is>
          <t>Standards &amp; references</t>
        </is>
      </c>
      <c r="B14" s="5" t="inlineStr">
        <is>
          <t>• OWASP-MASVS v2 (L2 for PHI apps)
• LOCAL-PDP; ISO27001 A.8.1 user end-point devices
• Platform app-store health-data guidelines
• WCAG22 for mobile</t>
        </is>
      </c>
      <c r="C14" s="6" t="n"/>
    </row>
    <row r="15" ht="40.8" customHeight="1">
      <c r="A15" s="4" t="inlineStr">
        <is>
          <t>Evidence base (why now)</t>
        </is>
      </c>
      <c r="B15" s="5" t="inlineStr">
        <is>
          <t>Risk R6 / G14: refresh token in memory only until the secure-storage plug-in is registered, MAM SDK not integrated; increment-1 limitations: no native NFC, offline retry in memory only, telephone triage not offline-capable, SMS / push are logging adapters, no per-user channel opt-in; client requirement E01-HLR-03: airside posts work offline-tolerant (mobile sync).</t>
        </is>
      </c>
      <c r="C15" s="6" t="n"/>
    </row>
    <row r="16" ht="15.6" customHeight="1">
      <c r="A16" s="4" t="inlineStr">
        <is>
          <t>Recommended start horizon</t>
        </is>
      </c>
      <c r="B16" s="5" t="inlineStr">
        <is>
          <t>H1 – secure storage, MAM and store / MDM release before crew go-live; H2 – offline capture, NFC, push and wallet</t>
        </is>
      </c>
      <c r="C16" s="6" t="n"/>
    </row>
    <row r="18">
      <c r="A18" s="7" t="inlineStr">
        <is>
          <t>Summary metrics (formula-driven)</t>
        </is>
      </c>
    </row>
    <row r="19" ht="15" customHeight="1">
      <c r="A19" s="8" t="inlineStr">
        <is>
          <t>Number of high-level requirements</t>
        </is>
      </c>
      <c r="B19" s="9">
        <f>COUNTA('High-Level Requirements'!A5:A9)</f>
        <v/>
      </c>
    </row>
    <row r="20" ht="15" customHeight="1">
      <c r="A20" s="8" t="inlineStr">
        <is>
          <t>Number of features</t>
        </is>
      </c>
      <c r="B20" s="9">
        <f>COUNTA('Feature List'!A5:A9)</f>
        <v/>
      </c>
    </row>
    <row r="21" ht="15" customHeight="1">
      <c r="A21" s="8" t="inlineStr">
        <is>
          <t>Number of backlog items</t>
        </is>
      </c>
      <c r="B21" s="9">
        <f>COUNTA('Implementation Backlog'!A5:A16)</f>
        <v/>
      </c>
    </row>
    <row r="22" ht="15" customHeight="1">
      <c r="A22" s="8" t="inlineStr">
        <is>
          <t>Total story points (indicative)</t>
        </is>
      </c>
      <c r="B22" s="9">
        <f>SUM('Implementation Backlog'!G5:G16)</f>
        <v/>
      </c>
    </row>
    <row r="23" ht="15" customHeight="1">
      <c r="A23" s="8" t="inlineStr">
        <is>
          <t>Story points – H1 (0–6 months)</t>
        </is>
      </c>
      <c r="B23" s="9">
        <f>SUMIF('Implementation Backlog'!H5:H16,"H1",'Implementation Backlog'!G5:G16)</f>
        <v/>
      </c>
    </row>
    <row r="24" ht="15" customHeight="1">
      <c r="A24" s="8" t="inlineStr">
        <is>
          <t>Story points – H2 (6–18 months)</t>
        </is>
      </c>
      <c r="B24" s="9">
        <f>SUMIF('Implementation Backlog'!H5:H16,"H2",'Implementation Backlog'!G5:G16)</f>
        <v/>
      </c>
    </row>
    <row r="25" ht="15" customHeight="1">
      <c r="A25" s="8" t="inlineStr">
        <is>
          <t>Story points – H3 (18–36 months)</t>
        </is>
      </c>
      <c r="B25" s="9">
        <f>SUMIF('Implementation Backlog'!H5:H16,"H3",'Implementation Backlog'!G5:G16)</f>
        <v/>
      </c>
    </row>
    <row r="26" ht="27" customHeight="1">
      <c r="A26" s="8" t="inlineStr">
        <is>
          <t>Indicative team-sprints (at 30 SP per sprint)</t>
        </is>
      </c>
      <c r="B26" s="9">
        <f>ROUNDUP(SUM('Implementation Backlog'!G5:G16)/30,0)</f>
        <v/>
      </c>
    </row>
    <row r="27" ht="15" customHeight="1">
      <c r="A27" s="8" t="inlineStr">
        <is>
          <t>Must-have requirements</t>
        </is>
      </c>
      <c r="B27" s="9">
        <f>COUNTIF('High-Level Requirements'!D5:D9,"Must")</f>
        <v/>
      </c>
    </row>
    <row r="28" ht="27" customHeight="1">
      <c r="A28" s="8" t="inlineStr">
        <is>
          <t>Backlog items awaiting review decision</t>
        </is>
      </c>
      <c r="B28" s="9">
        <f>COUNTBLANK('Implementation Backlog'!N5:N16)</f>
        <v/>
      </c>
    </row>
    <row r="30">
      <c r="A30" s="7" t="inlineStr">
        <is>
          <t>Notes &amp; assumptions</t>
        </is>
      </c>
    </row>
    <row r="31" ht="30" customHeight="1">
      <c r="A31" s="10" t="inlineStr">
        <is>
          <t>How to review: yellow cells are for the reviewers named on the overview (C-suite sponsor, CIO, CMO / Nursing Head, Cyber GRC, DPO). Use the 'Decision' and 'Review comment' columns on each sheet; the dropdowns offer Accept / Modify / Reject / Defer.</t>
        </is>
      </c>
    </row>
    <row r="32" ht="30" customHeight="1">
      <c r="A32" s="10" t="inlineStr">
        <is>
          <t>Story points are indicative relative-size estimates (Fibonacci-like scale) produced during strategy drafting; they must be re-estimated by the delivery teams. Team-sprints in the catalogue workbook use an indicative velocity of 30 points per team per two-week sprint.</t>
        </is>
      </c>
    </row>
    <row r="33" ht="30" customHeight="1">
      <c r="A33" s="10" t="inlineStr">
        <is>
          <t>Horizons: H1 = Go-live readiness and close the gaps (months 0–6), H2 = Scale, intelligence and experience (months 6–18), H3 = Ecosystem and industry leadership (months 18–36). Priority on backlog items is P1 (critical) / P2 / P3.</t>
        </is>
      </c>
    </row>
    <row r="34" ht="30" customHeight="1">
      <c r="A34" s="10" t="inlineStr">
        <is>
          <t>Nothing in this workbook exists in the product today unless the 'Evidence base' row says so; benefits and KPI targets are indicative and must be baselined by their business owners.</t>
        </is>
      </c>
    </row>
    <row r="35" ht="30" customHeight="1">
      <c r="A35" s="10" t="inlineStr">
        <is>
          <t>Confidentiality rule used throughout: managers, HR, crew scheduling, vendors and analytics audiences see status or suppressed aggregates only – never diagnosis or clinical detail; all data stays in the client's jurisdiction.</t>
        </is>
      </c>
    </row>
  </sheetData>
  <mergeCells count="16">
    <mergeCell ref="B13:C13"/>
    <mergeCell ref="A1:D1"/>
    <mergeCell ref="B16:C16"/>
    <mergeCell ref="A33:C33"/>
    <mergeCell ref="B15:C15"/>
    <mergeCell ref="B7:C7"/>
    <mergeCell ref="B11:C11"/>
    <mergeCell ref="A32:C32"/>
    <mergeCell ref="A31:C31"/>
    <mergeCell ref="B10:C10"/>
    <mergeCell ref="B14:C14"/>
    <mergeCell ref="A35:C35"/>
    <mergeCell ref="A34:C34"/>
    <mergeCell ref="B9:C9"/>
    <mergeCell ref="B8:C8"/>
    <mergeCell ref="B12:C1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0" customWidth="1" min="2" max="2"/>
    <col width="45" customWidth="1" min="3" max="3"/>
    <col width="12" customWidth="1" min="4" max="4"/>
    <col width="28" customWidth="1" min="5" max="5"/>
    <col width="34" customWidth="1" min="6" max="6"/>
    <col width="36" customWidth="1" min="7" max="7"/>
    <col width="12" customWidth="1" min="8" max="8"/>
  </cols>
  <sheetData>
    <row r="1" ht="17.35" customHeight="1">
      <c r="A1" s="1" t="inlineStr">
        <is>
          <t>E22 – High-Level Requirements</t>
        </is>
      </c>
    </row>
    <row r="2" ht="15" customHeight="1">
      <c r="A2" s="2" t="inlineStr">
        <is>
          <t>What the solution must achieve for this epic (MoSCoW prioritised, traced to standards and to the evidence of increments 1–5)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HLR ID</t>
        </is>
      </c>
      <c r="B4" s="11" t="inlineStr">
        <is>
          <t>Requirement</t>
        </is>
      </c>
      <c r="C4" s="11" t="inlineStr">
        <is>
          <t>Rationale</t>
        </is>
      </c>
      <c r="D4" s="11" t="inlineStr">
        <is>
          <t>Priority (MoSCoW)</t>
        </is>
      </c>
      <c r="E4" s="11" t="inlineStr">
        <is>
          <t>Standards / sources</t>
        </is>
      </c>
      <c r="F4" s="11" t="inlineStr">
        <is>
          <t>Applicable units</t>
        </is>
      </c>
      <c r="G4" s="11" t="inlineStr">
        <is>
          <t>Review comment (sponsor / CMO / GRC)</t>
        </is>
      </c>
      <c r="H4" s="11" t="inlineStr">
        <is>
          <t>Decision</t>
        </is>
      </c>
    </row>
    <row r="5" ht="66" customHeight="1">
      <c r="A5" s="12" t="inlineStr">
        <is>
          <t>E22-HLR-01</t>
        </is>
      </c>
      <c r="B5" s="13" t="inlineStr">
        <is>
          <t>The mobile app shall store tokens only in hardware-backed secure storage, enforce app-protection policies (no copy / paste or backup of app data, PIN, remote wipe) and be distributed through MDM for managed devices.</t>
        </is>
      </c>
      <c r="C5" s="13" t="inlineStr">
        <is>
          <t>Risk R6 and G14; decision D4 recommends MDM-managed distribution with app protection.</t>
        </is>
      </c>
      <c r="D5" s="12" t="inlineStr">
        <is>
          <t>Must</t>
        </is>
      </c>
      <c r="E5" s="13" t="inlineStr">
        <is>
          <t>OWASP-MASVS; ISO27001</t>
        </is>
      </c>
      <c r="F5" s="13" t="inlineStr">
        <is>
          <t>FLT – Flight Operations; CAB – Cabin Services; GND – Ground Services; CGO – Cargo &amp; Freight; CAT – Catering; ENG – Engineering &amp; Maintenance; SEC – Security, Fire &amp; Rescue</t>
        </is>
      </c>
      <c r="G5" s="14" t="n"/>
      <c r="H5" s="15" t="n"/>
    </row>
    <row r="6" ht="53.4" customHeight="1">
      <c r="A6" s="12" t="inlineStr">
        <is>
          <t>E22-HLR-02</t>
        </is>
      </c>
      <c r="B6" s="13" t="inlineStr">
        <is>
          <t>First-aid posts and telephone triage shall continue to capture a minimal encounter dataset without network, held in an encrypted local queue and synchronised idempotently when connectivity returns.</t>
        </is>
      </c>
      <c r="C6" s="13" t="inlineStr">
        <is>
          <t>Airside and night-shift posts lose connectivity; E01-HLR-03 requires offline tolerance.</t>
        </is>
      </c>
      <c r="D6" s="12" t="inlineStr">
        <is>
          <t>Must</t>
        </is>
      </c>
      <c r="E6" s="13" t="inlineStr">
        <is>
          <t>LOCAL-PDP; ISO45001</t>
        </is>
      </c>
      <c r="F6" s="13" t="inlineStr">
        <is>
          <t>GND – Ground Services; CGO – Cargo &amp; Freight; CAT – Catering; ENG – Engineering &amp; Maintenance; SEC – Security, Fire &amp; Rescue</t>
        </is>
      </c>
      <c r="G6" s="14" t="n"/>
      <c r="H6" s="15" t="n"/>
    </row>
    <row r="7" ht="53.4" customHeight="1">
      <c r="A7" s="12" t="inlineStr">
        <is>
          <t>E22-HLR-03</t>
        </is>
      </c>
      <c r="B7" s="13" t="inlineStr">
        <is>
          <t>Registration shall accept NFC / badge scan against a cached HRIS lookup so that a walk-in is registered in under 60 seconds.</t>
        </is>
      </c>
      <c r="C7" s="13" t="inlineStr">
        <is>
          <t>Speed at the point of injury; current flow is manual.</t>
        </is>
      </c>
      <c r="D7" s="12" t="inlineStr">
        <is>
          <t>Should</t>
        </is>
      </c>
      <c r="E7" s="13" t="inlineStr">
        <is>
          <t>ISO45001</t>
        </is>
      </c>
      <c r="F7" s="13" t="inlineStr">
        <is>
          <t>GND – Ground Services; CGO – Cargo &amp; Freight; CAT – Catering; ENG – Engineering &amp; Maintenance; SEC – Security, Fire &amp; Rescue</t>
        </is>
      </c>
      <c r="G7" s="14" t="n"/>
      <c r="H7" s="15" t="n"/>
    </row>
    <row r="8" ht="35.05" customHeight="1">
      <c r="A8" s="12" t="inlineStr">
        <is>
          <t>E22-HLR-04</t>
        </is>
      </c>
      <c r="B8" s="13" t="inlineStr">
        <is>
          <t>The app shall deliver content-free push notifications and let each user choose channels (push, SMS, e-mail) within the limits of mandatory safety messages.</t>
        </is>
      </c>
      <c r="C8" s="13" t="inlineStr">
        <is>
          <t>Push and SMS are logging adapters today; no per-user opt-in.</t>
        </is>
      </c>
      <c r="D8" s="12" t="inlineStr">
        <is>
          <t>Should</t>
        </is>
      </c>
      <c r="E8" s="13" t="inlineStr">
        <is>
          <t>LOCAL-PDP</t>
        </is>
      </c>
      <c r="F8" s="13" t="inlineStr">
        <is>
          <t>ALL – All subsidiaries &amp; departments (group-wide)</t>
        </is>
      </c>
      <c r="G8" s="14" t="n"/>
      <c r="H8" s="15" t="n"/>
    </row>
    <row r="9" ht="35.05" customHeight="1">
      <c r="A9" s="12" t="inlineStr">
        <is>
          <t>E22-HLR-05</t>
        </is>
      </c>
      <c r="B9" s="13" t="inlineStr">
        <is>
          <t>Crew shall see a status wallet (medical certificate validity, travel vaccinations, upcoming surveillance) and roster-aware reminders, usable on layover.</t>
        </is>
      </c>
      <c r="C9" s="13" t="inlineStr">
        <is>
          <t>Certificate lapses ground crew; KPI 'crew medical certificate lapses = 0'.</t>
        </is>
      </c>
      <c r="D9" s="12" t="inlineStr">
        <is>
          <t>Should</t>
        </is>
      </c>
      <c r="E9" s="13" t="inlineStr">
        <is>
          <t>EASA-MED; ICAO-A1</t>
        </is>
      </c>
      <c r="F9" s="13" t="inlineStr">
        <is>
          <t>FLT – Flight Operations; CAB – Cabin Services</t>
        </is>
      </c>
      <c r="G9" s="14" t="n"/>
      <c r="H9" s="15" t="n"/>
    </row>
  </sheetData>
  <autoFilter ref="A4:H9"/>
  <mergeCells count="3">
    <mergeCell ref="A3:H3"/>
    <mergeCell ref="A2:H2"/>
    <mergeCell ref="A1:H1"/>
  </mergeCells>
  <conditionalFormatting sqref="D5:D9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H5:H9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24" customWidth="1" min="4" max="4"/>
    <col width="12" customWidth="1" min="5" max="5"/>
    <col width="18" customWidth="1" min="6" max="6"/>
    <col width="48" customWidth="1" min="7" max="7"/>
    <col width="36" customWidth="1" min="8" max="8"/>
    <col width="30" customWidth="1" min="9" max="9"/>
    <col width="12" customWidth="1" min="10" max="10"/>
  </cols>
  <sheetData>
    <row r="1" ht="17.35" customHeight="1">
      <c r="A1" s="1" t="inlineStr">
        <is>
          <t>E22 – Low-Level Feature List</t>
        </is>
      </c>
    </row>
    <row r="2" ht="15" customHeight="1">
      <c r="A2" s="2" t="inlineStr">
        <is>
          <t>Features that implement the high-level requirements, with roles, acceptance criteria and unit-specific notes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Feature ID</t>
        </is>
      </c>
      <c r="B4" s="11" t="inlineStr">
        <is>
          <t>Feature</t>
        </is>
      </c>
      <c r="C4" s="11" t="inlineStr">
        <is>
          <t>Description</t>
        </is>
      </c>
      <c r="D4" s="11" t="inlineStr">
        <is>
          <t>Primary roles</t>
        </is>
      </c>
      <c r="E4" s="11" t="inlineStr">
        <is>
          <t>Priority (MoSCoW)</t>
        </is>
      </c>
      <c r="F4" s="11" t="inlineStr">
        <is>
          <t>Traces to HLR</t>
        </is>
      </c>
      <c r="G4" s="11" t="inlineStr">
        <is>
          <t>Acceptance criteria (summary)</t>
        </is>
      </c>
      <c r="H4" s="11" t="inlineStr">
        <is>
          <t>Unit-specific notes</t>
        </is>
      </c>
      <c r="I4" s="11" t="inlineStr">
        <is>
          <t>Review comment</t>
        </is>
      </c>
      <c r="J4" s="11" t="inlineStr">
        <is>
          <t>Decision</t>
        </is>
      </c>
    </row>
    <row r="5" ht="35.05" customHeight="1">
      <c r="A5" s="12" t="inlineStr">
        <is>
          <t>E22-F01</t>
        </is>
      </c>
      <c r="B5" s="13" t="inlineStr">
        <is>
          <t>Secure, managed mobile platform</t>
        </is>
      </c>
      <c r="C5" s="13" t="inlineStr">
        <is>
          <t>Secure-storage plug-in, MAM SDK, jailbreak / root signals, MDM managed configuration, store and enterprise distribution pipeline.</t>
        </is>
      </c>
      <c r="D5" s="13" t="inlineStr">
        <is>
          <t>Mobile team; Client MDM team</t>
        </is>
      </c>
      <c r="E5" s="12" t="inlineStr">
        <is>
          <t>Must</t>
        </is>
      </c>
      <c r="F5" s="13" t="inlineStr">
        <is>
          <t>E22-HLR-01</t>
        </is>
      </c>
      <c r="G5" s="13" t="inlineStr">
        <is>
          <t>Tokens in Keychain / Keystore; MAM policies enforced in test; signed builds distributed through MDM.</t>
        </is>
      </c>
      <c r="H5" s="13" t="inlineStr">
        <is>
          <t>Unmanaged devices limited to web portal if policy requires.</t>
        </is>
      </c>
      <c r="I5" s="14" t="n"/>
      <c r="J5" s="15" t="n"/>
    </row>
    <row r="6" ht="40.8" customHeight="1">
      <c r="A6" s="12" t="inlineStr">
        <is>
          <t>E22-F02</t>
        </is>
      </c>
      <c r="B6" s="13" t="inlineStr">
        <is>
          <t>Offline encounter capture and sync</t>
        </is>
      </c>
      <c r="C6" s="13" t="inlineStr">
        <is>
          <t>Minimal dataset form, encrypted queue with device-bound key, idempotent sync with Idempotency-Key, conflict rules, max offline age, wipe on sign-out.</t>
        </is>
      </c>
      <c r="D6" s="13" t="inlineStr">
        <is>
          <t>First aider; Clinic reception; OH nurse</t>
        </is>
      </c>
      <c r="E6" s="12" t="inlineStr">
        <is>
          <t>Must</t>
        </is>
      </c>
      <c r="F6" s="13" t="inlineStr">
        <is>
          <t>E22-HLR-02</t>
        </is>
      </c>
      <c r="G6" s="13" t="inlineStr">
        <is>
          <t>Encounters created offline appear once after sync; queue unreadable without app unlock; 72 h maximum offline age.</t>
        </is>
      </c>
      <c r="H6" s="13" t="inlineStr">
        <is>
          <t>Only first-aid and triage data offline – no record browsing.</t>
        </is>
      </c>
      <c r="I6" s="14" t="n"/>
      <c r="J6" s="15" t="n"/>
    </row>
    <row r="7" ht="35.05" customHeight="1">
      <c r="A7" s="12" t="inlineStr">
        <is>
          <t>E22-F03</t>
        </is>
      </c>
      <c r="B7" s="13" t="inlineStr">
        <is>
          <t>NFC and badge registration</t>
        </is>
      </c>
      <c r="C7" s="13" t="inlineStr">
        <is>
          <t>NFC / barcode badge scan, HRIS lookup cache with short TTL and minimal fields.</t>
        </is>
      </c>
      <c r="D7" s="13" t="inlineStr">
        <is>
          <t>First aider; Clinic reception</t>
        </is>
      </c>
      <c r="E7" s="12" t="inlineStr">
        <is>
          <t>Should</t>
        </is>
      </c>
      <c r="F7" s="13" t="inlineStr">
        <is>
          <t>E22-HLR-03</t>
        </is>
      </c>
      <c r="G7" s="13" t="inlineStr">
        <is>
          <t>Registration &lt; 60 s in field test at three posts.</t>
        </is>
      </c>
      <c r="H7" s="13" t="inlineStr">
        <is>
          <t>Badge technology varies by station.</t>
        </is>
      </c>
      <c r="I7" s="14" t="n"/>
      <c r="J7" s="15" t="n"/>
    </row>
    <row r="8" ht="35.05" customHeight="1">
      <c r="A8" s="12" t="inlineStr">
        <is>
          <t>E22-F04</t>
        </is>
      </c>
      <c r="B8" s="13" t="inlineStr">
        <is>
          <t>Push and channel preferences</t>
        </is>
      </c>
      <c r="C8" s="13" t="inlineStr">
        <is>
          <t>Push provider integration through the notification gateway, content-free templates, per-user channel preferences, mandatory-message rules.</t>
        </is>
      </c>
      <c r="D8" s="13" t="inlineStr">
        <is>
          <t>Employee; Crew; DPO</t>
        </is>
      </c>
      <c r="E8" s="12" t="inlineStr">
        <is>
          <t>Should</t>
        </is>
      </c>
      <c r="F8" s="13" t="inlineStr">
        <is>
          <t>E22-HLR-04</t>
        </is>
      </c>
      <c r="G8" s="13" t="inlineStr">
        <is>
          <t>Push delivered &lt; 1 min for 95 %; no clinical words in any push (content rule tests).</t>
        </is>
      </c>
      <c r="H8" s="13" t="inlineStr">
        <is>
          <t>Mandatory safety advisories cannot be switched off.</t>
        </is>
      </c>
      <c r="I8" s="14" t="n"/>
      <c r="J8" s="15" t="n"/>
    </row>
    <row r="9" ht="35.05" customHeight="1">
      <c r="A9" s="12" t="inlineStr">
        <is>
          <t>E22-F05</t>
        </is>
      </c>
      <c r="B9" s="13" t="inlineStr">
        <is>
          <t>Crew status wallet and reminders</t>
        </is>
      </c>
      <c r="C9" s="13" t="inlineStr">
        <is>
          <t>Wallet card showing statuses only, offline-readable, roster-aware reminders.</t>
        </is>
      </c>
      <c r="D9" s="13" t="inlineStr">
        <is>
          <t>Crew; AME; Crew licensing</t>
        </is>
      </c>
      <c r="E9" s="12" t="inlineStr">
        <is>
          <t>Should</t>
        </is>
      </c>
      <c r="F9" s="13" t="inlineStr">
        <is>
          <t>E22-HLR-05</t>
        </is>
      </c>
      <c r="G9" s="13" t="inlineStr">
        <is>
          <t>Wallet shows status without diagnosis; reminders before expiry at 60 / 30 / 7 days.</t>
        </is>
      </c>
      <c r="H9" s="13" t="inlineStr">
        <is>
          <t>Status only – no clinical detail on the device.</t>
        </is>
      </c>
      <c r="I9" s="14" t="n"/>
      <c r="J9" s="15" t="n"/>
    </row>
  </sheetData>
  <autoFilter ref="A4:J9"/>
  <mergeCells count="3">
    <mergeCell ref="A1:J1"/>
    <mergeCell ref="A3:J3"/>
    <mergeCell ref="A2:J2"/>
  </mergeCells>
  <conditionalFormatting sqref="E5:E9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J5:J9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26" customWidth="1" min="3" max="3"/>
    <col width="9" customWidth="1" min="4" max="4"/>
    <col width="60" customWidth="1" min="5" max="5"/>
    <col width="55" customWidth="1" min="6" max="6"/>
    <col width="10" customWidth="1" min="7" max="7"/>
    <col width="9" customWidth="1" min="8" max="8"/>
    <col width="9" customWidth="1" min="9" max="9"/>
    <col width="24" customWidth="1" min="10" max="10"/>
    <col width="14" customWidth="1" min="11" max="11"/>
    <col width="10" customWidth="1" min="12" max="12"/>
    <col width="13" customWidth="1" min="13" max="13"/>
    <col width="11" customWidth="1" min="14" max="14"/>
    <col width="30" customWidth="1" min="15" max="15"/>
  </cols>
  <sheetData>
    <row r="1" ht="17.35" customHeight="1">
      <c r="A1" s="1" t="inlineStr">
        <is>
          <t>E22 – Implementation Backlog (line by line)</t>
        </is>
      </c>
    </row>
    <row r="2" ht="15" customHeight="1">
      <c r="A2" s="2" t="inlineStr">
        <is>
          <t>User stories, enablers, tasks and spikes with acceptance criteria, indicative estimates, horizon, priority, owner and dependencies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Backlog ID</t>
        </is>
      </c>
      <c r="B4" s="11" t="inlineStr">
        <is>
          <t>Feature ID</t>
        </is>
      </c>
      <c r="C4" s="11" t="inlineStr">
        <is>
          <t>Feature (lookup)</t>
        </is>
      </c>
      <c r="D4" s="11" t="inlineStr">
        <is>
          <t>Type</t>
        </is>
      </c>
      <c r="E4" s="11" t="inlineStr">
        <is>
          <t>Title / user story</t>
        </is>
      </c>
      <c r="F4" s="11" t="inlineStr">
        <is>
          <t>Acceptance criteria / definition of done</t>
        </is>
      </c>
      <c r="G4" s="11" t="inlineStr">
        <is>
          <t>Story points (indicative)</t>
        </is>
      </c>
      <c r="H4" s="11" t="inlineStr">
        <is>
          <t>Horizon</t>
        </is>
      </c>
      <c r="I4" s="11" t="inlineStr">
        <is>
          <t>Priority</t>
        </is>
      </c>
      <c r="J4" s="11" t="inlineStr">
        <is>
          <t>Owner / team</t>
        </is>
      </c>
      <c r="K4" s="11" t="inlineStr">
        <is>
          <t>Dependencies (epics)</t>
        </is>
      </c>
      <c r="L4" s="11" t="inlineStr">
        <is>
          <t>Sprint (to assign)</t>
        </is>
      </c>
      <c r="M4" s="11" t="inlineStr">
        <is>
          <t>Status</t>
        </is>
      </c>
      <c r="N4" s="11" t="inlineStr">
        <is>
          <t>Decision</t>
        </is>
      </c>
      <c r="O4" s="11" t="inlineStr">
        <is>
          <t>Review comment</t>
        </is>
      </c>
    </row>
    <row r="5" ht="28.2" customHeight="1">
      <c r="A5" s="12" t="inlineStr">
        <is>
          <t>E22-BL-001</t>
        </is>
      </c>
      <c r="B5" s="12" t="inlineStr">
        <is>
          <t>E22-F01</t>
        </is>
      </c>
      <c r="C5" s="13">
        <f>IFERROR(INDEX('Feature List'!$B$5:$B$9,MATCH(B5,'Feature List'!$A$5:$A$9,0)),"")</f>
        <v/>
      </c>
      <c r="D5" s="12" t="inlineStr">
        <is>
          <t>Enabler</t>
        </is>
      </c>
      <c r="E5" s="13" t="inlineStr">
        <is>
          <t>Register the secure-storage plug-in for refresh tokens on iOS and Android and remove in-memory fall-back in release builds</t>
        </is>
      </c>
      <c r="F5" s="13" t="inlineStr">
        <is>
          <t>Tokens persisted only in Keychain / Keystore; MASVS storage checks pass</t>
        </is>
      </c>
      <c r="G5" s="12" t="n">
        <v>5</v>
      </c>
      <c r="H5" s="12" t="inlineStr">
        <is>
          <t>H1</t>
        </is>
      </c>
      <c r="I5" s="12" t="inlineStr">
        <is>
          <t>P1</t>
        </is>
      </c>
      <c r="J5" s="13" t="inlineStr">
        <is>
          <t>Mobile</t>
        </is>
      </c>
      <c r="K5" s="13" t="inlineStr">
        <is>
          <t>E19</t>
        </is>
      </c>
      <c r="L5" s="16" t="n"/>
      <c r="M5" s="12" t="inlineStr">
        <is>
          <t>Not started</t>
        </is>
      </c>
      <c r="N5" s="15" t="n"/>
      <c r="O5" s="14" t="n"/>
    </row>
    <row r="6" ht="28.2" customHeight="1">
      <c r="A6" s="12" t="inlineStr">
        <is>
          <t>E22-BL-002</t>
        </is>
      </c>
      <c r="B6" s="12" t="inlineStr">
        <is>
          <t>E22-F01</t>
        </is>
      </c>
      <c r="C6" s="13">
        <f>IFERROR(INDEX('Feature List'!$B$5:$B$9,MATCH(B6,'Feature List'!$A$5:$A$9,0)),"")</f>
        <v/>
      </c>
      <c r="D6" s="12" t="inlineStr">
        <is>
          <t>Enabler</t>
        </is>
      </c>
      <c r="E6" s="13" t="inlineStr">
        <is>
          <t>Integrate the app-protection (MAM) SDK and managed configuration; verify selective wipe</t>
        </is>
      </c>
      <c r="F6" s="13" t="inlineStr">
        <is>
          <t>Copy / paste and backup blocked; selective wipe removes app data in test</t>
        </is>
      </c>
      <c r="G6" s="12" t="n">
        <v>8</v>
      </c>
      <c r="H6" s="12" t="inlineStr">
        <is>
          <t>H1</t>
        </is>
      </c>
      <c r="I6" s="12" t="inlineStr">
        <is>
          <t>P1</t>
        </is>
      </c>
      <c r="J6" s="13" t="inlineStr">
        <is>
          <t>Mobile</t>
        </is>
      </c>
      <c r="K6" s="13" t="inlineStr">
        <is>
          <t>E19</t>
        </is>
      </c>
      <c r="L6" s="16" t="n"/>
      <c r="M6" s="12" t="inlineStr">
        <is>
          <t>Not started</t>
        </is>
      </c>
      <c r="N6" s="15" t="n"/>
      <c r="O6" s="14" t="n"/>
    </row>
    <row r="7" ht="28.2" customHeight="1">
      <c r="A7" s="12" t="inlineStr">
        <is>
          <t>E22-BL-003</t>
        </is>
      </c>
      <c r="B7" s="12" t="inlineStr">
        <is>
          <t>E22-F01</t>
        </is>
      </c>
      <c r="C7" s="13">
        <f>IFERROR(INDEX('Feature List'!$B$5:$B$9,MATCH(B7,'Feature List'!$A$5:$A$9,0)),"")</f>
        <v/>
      </c>
      <c r="D7" s="12" t="inlineStr">
        <is>
          <t>Task</t>
        </is>
      </c>
      <c r="E7" s="13" t="inlineStr">
        <is>
          <t>Set up enterprise / MDM distribution and store listings with health-data declarations</t>
        </is>
      </c>
      <c r="F7" s="13" t="inlineStr">
        <is>
          <t>Signed builds delivered through MDM to pilot group; store review passed</t>
        </is>
      </c>
      <c r="G7" s="12" t="n">
        <v>5</v>
      </c>
      <c r="H7" s="12" t="inlineStr">
        <is>
          <t>H1</t>
        </is>
      </c>
      <c r="I7" s="12" t="inlineStr">
        <is>
          <t>P1</t>
        </is>
      </c>
      <c r="J7" s="13" t="inlineStr">
        <is>
          <t>Mobile; Product Owner</t>
        </is>
      </c>
      <c r="K7" s="13" t="inlineStr">
        <is>
          <t>–</t>
        </is>
      </c>
      <c r="L7" s="16" t="n"/>
      <c r="M7" s="12" t="inlineStr">
        <is>
          <t>Not started</t>
        </is>
      </c>
      <c r="N7" s="15" t="n"/>
      <c r="O7" s="14" t="n"/>
    </row>
    <row r="8" ht="28.2" customHeight="1">
      <c r="A8" s="12" t="inlineStr">
        <is>
          <t>E22-BL-004</t>
        </is>
      </c>
      <c r="B8" s="12" t="inlineStr">
        <is>
          <t>E22-F02</t>
        </is>
      </c>
      <c r="C8" s="13">
        <f>IFERROR(INDEX('Feature List'!$B$5:$B$9,MATCH(B8,'Feature List'!$A$5:$A$9,0)),"")</f>
        <v/>
      </c>
      <c r="D8" s="12" t="inlineStr">
        <is>
          <t>Story</t>
        </is>
      </c>
      <c r="E8" s="13" t="inlineStr">
        <is>
          <t>As a first aider at an airside post I want to register an injury when the network is down so that no encounter is lost</t>
        </is>
      </c>
      <c r="F8" s="13" t="inlineStr">
        <is>
          <t>Offline form with minimal dataset; encrypted queue; sync once online; duplicate-safe</t>
        </is>
      </c>
      <c r="G8" s="12" t="n">
        <v>13</v>
      </c>
      <c r="H8" s="12" t="inlineStr">
        <is>
          <t>H2</t>
        </is>
      </c>
      <c r="I8" s="12" t="inlineStr">
        <is>
          <t>P1</t>
        </is>
      </c>
      <c r="J8" s="13" t="inlineStr">
        <is>
          <t>Mobile; Platform / Backend</t>
        </is>
      </c>
      <c r="K8" s="13" t="inlineStr">
        <is>
          <t>E01</t>
        </is>
      </c>
      <c r="L8" s="16" t="n"/>
      <c r="M8" s="12" t="inlineStr">
        <is>
          <t>Not started</t>
        </is>
      </c>
      <c r="N8" s="15" t="n"/>
      <c r="O8" s="14" t="n"/>
    </row>
    <row r="9" ht="28.2" customHeight="1">
      <c r="A9" s="12" t="inlineStr">
        <is>
          <t>E22-BL-005</t>
        </is>
      </c>
      <c r="B9" s="12" t="inlineStr">
        <is>
          <t>E22-F02</t>
        </is>
      </c>
      <c r="C9" s="13">
        <f>IFERROR(INDEX('Feature List'!$B$5:$B$9,MATCH(B9,'Feature List'!$A$5:$A$9,0)),"")</f>
        <v/>
      </c>
      <c r="D9" s="12" t="inlineStr">
        <is>
          <t>Enabler</t>
        </is>
      </c>
      <c r="E9" s="13" t="inlineStr">
        <is>
          <t>Idempotent sync API with conflict rules and maximum offline age for queued encounters</t>
        </is>
      </c>
      <c r="F9" s="13" t="inlineStr">
        <is>
          <t>Server rejects stale (&gt; 72 h) items for manual review; replay is idempotent</t>
        </is>
      </c>
      <c r="G9" s="12" t="n">
        <v>8</v>
      </c>
      <c r="H9" s="12" t="inlineStr">
        <is>
          <t>H2</t>
        </is>
      </c>
      <c r="I9" s="12" t="inlineStr">
        <is>
          <t>P1</t>
        </is>
      </c>
      <c r="J9" s="13" t="inlineStr">
        <is>
          <t>Platform / Backend</t>
        </is>
      </c>
      <c r="K9" s="13" t="inlineStr">
        <is>
          <t>E15</t>
        </is>
      </c>
      <c r="L9" s="16" t="n"/>
      <c r="M9" s="12" t="inlineStr">
        <is>
          <t>Not started</t>
        </is>
      </c>
      <c r="N9" s="15" t="n"/>
      <c r="O9" s="14" t="n"/>
    </row>
    <row r="10" ht="40.8" customHeight="1">
      <c r="A10" s="12" t="inlineStr">
        <is>
          <t>E22-BL-006</t>
        </is>
      </c>
      <c r="B10" s="12" t="inlineStr">
        <is>
          <t>E22-F02</t>
        </is>
      </c>
      <c r="C10" s="13">
        <f>IFERROR(INDEX('Feature List'!$B$5:$B$9,MATCH(B10,'Feature List'!$A$5:$A$9,0)),"")</f>
        <v/>
      </c>
      <c r="D10" s="12" t="inlineStr">
        <is>
          <t>Story</t>
        </is>
      </c>
      <c r="E10" s="13" t="inlineStr">
        <is>
          <t>As a triage nurse on night shift I want telephone triage to continue offline with the protocol script cached so that outstations get the same quality</t>
        </is>
      </c>
      <c r="F10" s="13" t="inlineStr">
        <is>
          <t>Approved protocol versions cached; result synced with protocol version id</t>
        </is>
      </c>
      <c r="G10" s="12" t="n">
        <v>8</v>
      </c>
      <c r="H10" s="12" t="inlineStr">
        <is>
          <t>H2</t>
        </is>
      </c>
      <c r="I10" s="12" t="inlineStr">
        <is>
          <t>P2</t>
        </is>
      </c>
      <c r="J10" s="13" t="inlineStr">
        <is>
          <t>Mobile; Clinical SME (OH Nurse / Physician)</t>
        </is>
      </c>
      <c r="K10" s="13" t="inlineStr">
        <is>
          <t>E02</t>
        </is>
      </c>
      <c r="L10" s="16" t="n"/>
      <c r="M10" s="12" t="inlineStr">
        <is>
          <t>Not started</t>
        </is>
      </c>
      <c r="N10" s="15" t="n"/>
      <c r="O10" s="14" t="n"/>
    </row>
    <row r="11" ht="28.2" customHeight="1">
      <c r="A11" s="12" t="inlineStr">
        <is>
          <t>E22-BL-007</t>
        </is>
      </c>
      <c r="B11" s="12" t="inlineStr">
        <is>
          <t>E22-F03</t>
        </is>
      </c>
      <c r="C11" s="13">
        <f>IFERROR(INDEX('Feature List'!$B$5:$B$9,MATCH(B11,'Feature List'!$A$5:$A$9,0)),"")</f>
        <v/>
      </c>
      <c r="D11" s="12" t="inlineStr">
        <is>
          <t>Story</t>
        </is>
      </c>
      <c r="E11" s="13" t="inlineStr">
        <is>
          <t>As clinic reception I want to scan a staff badge by NFC so that the walk-in is registered in under 60 seconds</t>
        </is>
      </c>
      <c r="F11" s="13" t="inlineStr">
        <is>
          <t>NFC and barcode supported; HRIS cache TTL ≤ 24 h; field test at three posts</t>
        </is>
      </c>
      <c r="G11" s="12" t="n">
        <v>5</v>
      </c>
      <c r="H11" s="12" t="inlineStr">
        <is>
          <t>H2</t>
        </is>
      </c>
      <c r="I11" s="12" t="inlineStr">
        <is>
          <t>P2</t>
        </is>
      </c>
      <c r="J11" s="13" t="inlineStr">
        <is>
          <t>Mobile</t>
        </is>
      </c>
      <c r="K11" s="13" t="inlineStr">
        <is>
          <t>E15</t>
        </is>
      </c>
      <c r="L11" s="16" t="n"/>
      <c r="M11" s="12" t="inlineStr">
        <is>
          <t>Not started</t>
        </is>
      </c>
      <c r="N11" s="15" t="n"/>
      <c r="O11" s="14" t="n"/>
    </row>
    <row r="12" ht="28.2" customHeight="1">
      <c r="A12" s="12" t="inlineStr">
        <is>
          <t>E22-BL-008</t>
        </is>
      </c>
      <c r="B12" s="12" t="inlineStr">
        <is>
          <t>E22-F04</t>
        </is>
      </c>
      <c r="C12" s="13">
        <f>IFERROR(INDEX('Feature List'!$B$5:$B$9,MATCH(B12,'Feature List'!$A$5:$A$9,0)),"")</f>
        <v/>
      </c>
      <c r="D12" s="12" t="inlineStr">
        <is>
          <t>Enabler</t>
        </is>
      </c>
      <c r="E12" s="13" t="inlineStr">
        <is>
          <t>Push channel adapter behind NotificationChannel with content-free templates</t>
        </is>
      </c>
      <c r="F12" s="13" t="inlineStr">
        <is>
          <t>Adapter selected by @Order; content rules tested; delivery metrics</t>
        </is>
      </c>
      <c r="G12" s="12" t="n">
        <v>5</v>
      </c>
      <c r="H12" s="12" t="inlineStr">
        <is>
          <t>H2</t>
        </is>
      </c>
      <c r="I12" s="12" t="inlineStr">
        <is>
          <t>P2</t>
        </is>
      </c>
      <c r="J12" s="13" t="inlineStr">
        <is>
          <t>Platform / Backend</t>
        </is>
      </c>
      <c r="K12" s="13" t="inlineStr">
        <is>
          <t>E15</t>
        </is>
      </c>
      <c r="L12" s="16" t="n"/>
      <c r="M12" s="12" t="inlineStr">
        <is>
          <t>Not started</t>
        </is>
      </c>
      <c r="N12" s="15" t="n"/>
      <c r="O12" s="14" t="n"/>
    </row>
    <row r="13" ht="28.2" customHeight="1">
      <c r="A13" s="12" t="inlineStr">
        <is>
          <t>E22-BL-009</t>
        </is>
      </c>
      <c r="B13" s="12" t="inlineStr">
        <is>
          <t>E22-F04</t>
        </is>
      </c>
      <c r="C13" s="13">
        <f>IFERROR(INDEX('Feature List'!$B$5:$B$9,MATCH(B13,'Feature List'!$A$5:$A$9,0)),"")</f>
        <v/>
      </c>
      <c r="D13" s="12" t="inlineStr">
        <is>
          <t>Story</t>
        </is>
      </c>
      <c r="E13" s="13" t="inlineStr">
        <is>
          <t>As an employee I want to choose how I am contacted (push, SMS, e-mail) so that reminders reach me without exposing my health</t>
        </is>
      </c>
      <c r="F13" s="13" t="inlineStr">
        <is>
          <t>Preference per user; mandatory messages flagged; audit of changes</t>
        </is>
      </c>
      <c r="G13" s="12" t="n">
        <v>5</v>
      </c>
      <c r="H13" s="12" t="inlineStr">
        <is>
          <t>H2</t>
        </is>
      </c>
      <c r="I13" s="12" t="inlineStr">
        <is>
          <t>P2</t>
        </is>
      </c>
      <c r="J13" s="13" t="inlineStr">
        <is>
          <t>Frontend / UX</t>
        </is>
      </c>
      <c r="K13" s="13" t="inlineStr">
        <is>
          <t>E16</t>
        </is>
      </c>
      <c r="L13" s="16" t="n"/>
      <c r="M13" s="12" t="inlineStr">
        <is>
          <t>Not started</t>
        </is>
      </c>
      <c r="N13" s="15" t="n"/>
      <c r="O13" s="14" t="n"/>
    </row>
    <row r="14" ht="40.8" customHeight="1">
      <c r="A14" s="12" t="inlineStr">
        <is>
          <t>E22-BL-010</t>
        </is>
      </c>
      <c r="B14" s="12" t="inlineStr">
        <is>
          <t>E22-F05</t>
        </is>
      </c>
      <c r="C14" s="13">
        <f>IFERROR(INDEX('Feature List'!$B$5:$B$9,MATCH(B14,'Feature List'!$A$5:$A$9,0)),"")</f>
        <v/>
      </c>
      <c r="D14" s="12" t="inlineStr">
        <is>
          <t>Story</t>
        </is>
      </c>
      <c r="E14" s="13" t="inlineStr">
        <is>
          <t>As a crew member I want a wallet card that shows my medical certificate and travel vaccination status offline so that I can prove compliance on layover</t>
        </is>
      </c>
      <c r="F14" s="13" t="inlineStr">
        <is>
          <t>Status-only card; offline readable; refreshed on sign-in</t>
        </is>
      </c>
      <c r="G14" s="12" t="n">
        <v>5</v>
      </c>
      <c r="H14" s="12" t="inlineStr">
        <is>
          <t>H2</t>
        </is>
      </c>
      <c r="I14" s="12" t="inlineStr">
        <is>
          <t>P2</t>
        </is>
      </c>
      <c r="J14" s="13" t="inlineStr">
        <is>
          <t>Mobile</t>
        </is>
      </c>
      <c r="K14" s="13" t="inlineStr">
        <is>
          <t>E07, E11</t>
        </is>
      </c>
      <c r="L14" s="16" t="n"/>
      <c r="M14" s="12" t="inlineStr">
        <is>
          <t>Not started</t>
        </is>
      </c>
      <c r="N14" s="15" t="n"/>
      <c r="O14" s="14" t="n"/>
    </row>
    <row r="15" ht="28.2" customHeight="1">
      <c r="A15" s="12" t="inlineStr">
        <is>
          <t>E22-BL-011</t>
        </is>
      </c>
      <c r="B15" s="12" t="inlineStr">
        <is>
          <t>E22-F05</t>
        </is>
      </c>
      <c r="C15" s="13">
        <f>IFERROR(INDEX('Feature List'!$B$5:$B$9,MATCH(B15,'Feature List'!$A$5:$A$9,0)),"")</f>
        <v/>
      </c>
      <c r="D15" s="12" t="inlineStr">
        <is>
          <t>Story</t>
        </is>
      </c>
      <c r="E15" s="13" t="inlineStr">
        <is>
          <t>As a crew member I want roster-aware reminders before my certificate or surveillance is due so that I am never grounded by an expiry</t>
        </is>
      </c>
      <c r="F15" s="13" t="inlineStr">
        <is>
          <t>Reminders at 60 / 30 / 7 days; respects rest periods from roster data</t>
        </is>
      </c>
      <c r="G15" s="12" t="n">
        <v>5</v>
      </c>
      <c r="H15" s="12" t="inlineStr">
        <is>
          <t>H2</t>
        </is>
      </c>
      <c r="I15" s="12" t="inlineStr">
        <is>
          <t>P3</t>
        </is>
      </c>
      <c r="J15" s="13" t="inlineStr">
        <is>
          <t>Mobile</t>
        </is>
      </c>
      <c r="K15" s="13" t="inlineStr">
        <is>
          <t>E15, E25</t>
        </is>
      </c>
      <c r="L15" s="16" t="n"/>
      <c r="M15" s="12" t="inlineStr">
        <is>
          <t>Not started</t>
        </is>
      </c>
      <c r="N15" s="15" t="n"/>
      <c r="O15" s="14" t="n"/>
    </row>
    <row r="16" ht="28.2" customHeight="1">
      <c r="A16" s="12" t="inlineStr">
        <is>
          <t>E22-BL-012</t>
        </is>
      </c>
      <c r="B16" s="12" t="inlineStr">
        <is>
          <t>E22-F01</t>
        </is>
      </c>
      <c r="C16" s="13">
        <f>IFERROR(INDEX('Feature List'!$B$5:$B$9,MATCH(B16,'Feature List'!$A$5:$A$9,0)),"")</f>
        <v/>
      </c>
      <c r="D16" s="12" t="inlineStr">
        <is>
          <t>Task</t>
        </is>
      </c>
      <c r="E16" s="13" t="inlineStr">
        <is>
          <t>Define the device test matrix and crash reporting without PHI</t>
        </is>
      </c>
      <c r="F16" s="13" t="inlineStr">
        <is>
          <t>Matrix covers top 10 device models; crash payloads scrubbed and verified</t>
        </is>
      </c>
      <c r="G16" s="12" t="n">
        <v>3</v>
      </c>
      <c r="H16" s="12" t="inlineStr">
        <is>
          <t>H1</t>
        </is>
      </c>
      <c r="I16" s="12" t="inlineStr">
        <is>
          <t>P2</t>
        </is>
      </c>
      <c r="J16" s="13" t="inlineStr">
        <is>
          <t>Mobile; QA</t>
        </is>
      </c>
      <c r="K16" s="13" t="inlineStr">
        <is>
          <t>–</t>
        </is>
      </c>
      <c r="L16" s="16" t="n"/>
      <c r="M16" s="12" t="inlineStr">
        <is>
          <t>Not started</t>
        </is>
      </c>
      <c r="N16" s="15" t="n"/>
      <c r="O16" s="14" t="n"/>
    </row>
    <row r="18">
      <c r="E18" s="17" t="inlineStr">
        <is>
          <t>Total story points (indicative)</t>
        </is>
      </c>
      <c r="G18" s="18">
        <f>SUM(G5:G16)</f>
        <v/>
      </c>
    </row>
    <row r="19">
      <c r="E19" s="17" t="inlineStr">
        <is>
          <t>Items</t>
        </is>
      </c>
      <c r="G19" s="18">
        <f>COUNTA(A5:A16)</f>
        <v/>
      </c>
    </row>
  </sheetData>
  <autoFilter ref="A4:O16"/>
  <mergeCells count="3">
    <mergeCell ref="A1:O1"/>
    <mergeCell ref="A3:O3"/>
    <mergeCell ref="A2:O2"/>
  </mergeCells>
  <conditionalFormatting sqref="I5:I16">
    <cfRule type="cellIs" priority="1" operator="equal" dxfId="0">
      <formula>"P1"</formula>
    </cfRule>
  </conditionalFormatting>
  <dataValidations count="5">
    <dataValidation sqref="M5:M16" showDropDown="0" showInputMessage="0" showErrorMessage="0" allowBlank="1" type="list">
      <formula1>"Not started,In analysis,Ready,In progress,Done,Deferred"</formula1>
    </dataValidation>
    <dataValidation sqref="N5:N16" showDropDown="0" showInputMessage="0" showErrorMessage="0" allowBlank="1" type="list">
      <formula1>"Accept,Modify,Reject,Defer"</formula1>
    </dataValidation>
    <dataValidation sqref="H5:H16" showDropDown="0" showInputMessage="0" showErrorMessage="0" allowBlank="1" type="list">
      <formula1>"H1,H2,H3"</formula1>
    </dataValidation>
    <dataValidation sqref="I5:I16" showDropDown="0" showInputMessage="0" showErrorMessage="0" allowBlank="1" type="list">
      <formula1>"P1,P2,P3"</formula1>
    </dataValidation>
    <dataValidation sqref="D5:D16" showDropDown="0" showInputMessage="0" showErrorMessage="0" allowBlank="1" type="list">
      <formula1>"Story,Enabler,Task,Spike"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17.35" customHeight="1">
      <c r="A1" s="1" t="inlineStr">
        <is>
          <t>Legends – unit codes, standards, horizons, owners</t>
        </is>
      </c>
    </row>
    <row r="2" ht="15" customHeight="1">
      <c r="A2" s="2" t="inlineStr">
        <is>
          <t>Reference for codes used in this workbook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Code</t>
        </is>
      </c>
      <c r="B4" s="11" t="inlineStr">
        <is>
          <t>Meaning</t>
        </is>
      </c>
    </row>
    <row r="5" ht="15.6" customHeight="1">
      <c r="A5" s="13" t="inlineStr">
        <is>
          <t>ALL</t>
        </is>
      </c>
      <c r="B5" s="13" t="inlineStr">
        <is>
          <t>All subsidiaries &amp; departments (group-wide)</t>
        </is>
      </c>
    </row>
    <row r="6" ht="15.6" customHeight="1">
      <c r="A6" s="13" t="inlineStr">
        <is>
          <t>FLT</t>
        </is>
      </c>
      <c r="B6" s="13" t="inlineStr">
        <is>
          <t>Flight Operations – pilots / flight crew</t>
        </is>
      </c>
    </row>
    <row r="7" ht="15.6" customHeight="1">
      <c r="A7" s="13" t="inlineStr">
        <is>
          <t>CAB</t>
        </is>
      </c>
      <c r="B7" s="13" t="inlineStr">
        <is>
          <t>Cabin Services – cabin crew</t>
        </is>
      </c>
    </row>
    <row r="8" ht="15.6" customHeight="1">
      <c r="A8" s="13" t="inlineStr">
        <is>
          <t>GND</t>
        </is>
      </c>
      <c r="B8" s="13" t="inlineStr">
        <is>
          <t>Ground Services – ramp, baggage, aircraft turnaround, GSE drivers</t>
        </is>
      </c>
    </row>
    <row r="9" ht="15.6" customHeight="1">
      <c r="A9" s="13" t="inlineStr">
        <is>
          <t>CGO</t>
        </is>
      </c>
      <c r="B9" s="13" t="inlineStr">
        <is>
          <t>Cargo &amp; Freight – warehouse, DGR/hazmat handling, cold chain, forklift</t>
        </is>
      </c>
    </row>
    <row r="10" ht="15.6" customHeight="1">
      <c r="A10" s="13" t="inlineStr">
        <is>
          <t>CAT</t>
        </is>
      </c>
      <c r="B10" s="13" t="inlineStr">
        <is>
          <t>Catering – food production, food handlers, cold rooms, dish-wash, knives</t>
        </is>
      </c>
    </row>
    <row r="11" ht="15.6" customHeight="1">
      <c r="A11" s="13" t="inlineStr">
        <is>
          <t>ENG</t>
        </is>
      </c>
      <c r="B11" s="13" t="inlineStr">
        <is>
          <t>Engineering &amp; Maintenance – hangar, hazmat/chemicals, noise, heights, confined space</t>
        </is>
      </c>
    </row>
    <row r="12" ht="15.6" customHeight="1">
      <c r="A12" s="13" t="inlineStr">
        <is>
          <t>SEC</t>
        </is>
      </c>
      <c r="B12" s="13" t="inlineStr">
        <is>
          <t>Security, Fire &amp; Rescue, Medical Response</t>
        </is>
      </c>
    </row>
    <row r="13" ht="15.6" customHeight="1">
      <c r="A13" s="13" t="inlineStr">
        <is>
          <t>H1</t>
        </is>
      </c>
      <c r="B13" s="13" t="inlineStr">
        <is>
          <t>Horizon 1 – Go-live readiness and close the gaps (months 0–6)</t>
        </is>
      </c>
    </row>
    <row r="14" ht="15.6" customHeight="1">
      <c r="A14" s="13" t="inlineStr">
        <is>
          <t>H2</t>
        </is>
      </c>
      <c r="B14" s="13" t="inlineStr">
        <is>
          <t>Horizon 2 – Scale, intelligence and experience (months 6–18)</t>
        </is>
      </c>
    </row>
    <row r="15" ht="15.6" customHeight="1">
      <c r="A15" s="13" t="inlineStr">
        <is>
          <t>H3</t>
        </is>
      </c>
      <c r="B15" s="13" t="inlineStr">
        <is>
          <t>Horizon 3 – Ecosystem and industry-leading OH platform (months 18–36)</t>
        </is>
      </c>
    </row>
    <row r="16" ht="15.6" customHeight="1">
      <c r="A16" s="13" t="inlineStr">
        <is>
          <t>P1 / P2 / P3</t>
        </is>
      </c>
      <c r="B16" s="13" t="inlineStr">
        <is>
          <t>Backlog priority: P1 critical, P2 important, P3 desirable</t>
        </is>
      </c>
    </row>
    <row r="17" ht="15.6" customHeight="1">
      <c r="A17" s="13" t="inlineStr">
        <is>
          <t>ISO45001</t>
        </is>
      </c>
      <c r="B17" s="13" t="inlineStr">
        <is>
          <t>ISO 45001:2018 – OH&amp;S management systems</t>
        </is>
      </c>
    </row>
    <row r="18" ht="15.6" customHeight="1">
      <c r="A18" s="13" t="inlineStr">
        <is>
          <t>ISO45003</t>
        </is>
      </c>
      <c r="B18" s="13" t="inlineStr">
        <is>
          <t>ISO 45003:2021 – psychological health &amp; safety / psychosocial risk</t>
        </is>
      </c>
    </row>
    <row r="19" ht="15.6" customHeight="1">
      <c r="A19" s="13" t="inlineStr">
        <is>
          <t>ISO27001</t>
        </is>
      </c>
      <c r="B19" s="13" t="inlineStr">
        <is>
          <t>ISO/IEC 27001:2022 – information security management, Annex A</t>
        </is>
      </c>
    </row>
    <row r="20" ht="15.6" customHeight="1">
      <c r="A20" s="13" t="inlineStr">
        <is>
          <t>ISO27017</t>
        </is>
      </c>
      <c r="B20" s="13" t="inlineStr">
        <is>
          <t>ISO/IEC 27017 – information security controls for cloud services (tenant segregation)</t>
        </is>
      </c>
    </row>
    <row r="21" ht="15.6" customHeight="1">
      <c r="A21" s="13" t="inlineStr">
        <is>
          <t>ISO27701</t>
        </is>
      </c>
      <c r="B21" s="13" t="inlineStr">
        <is>
          <t>ISO/IEC 27701 – privacy information management</t>
        </is>
      </c>
    </row>
    <row r="22" ht="15.6" customHeight="1">
      <c r="A22" s="13" t="inlineStr">
        <is>
          <t>ISO22301</t>
        </is>
      </c>
      <c r="B22" s="13" t="inlineStr">
        <is>
          <t>ISO 22301 – business continuity management</t>
        </is>
      </c>
    </row>
    <row r="23" ht="15.6" customHeight="1">
      <c r="A23" s="13" t="inlineStr">
        <is>
          <t>ISO20889</t>
        </is>
      </c>
      <c r="B23" s="13" t="inlineStr">
        <is>
          <t>ISO/IEC 20889 – privacy-enhancing data de-identification techniques</t>
        </is>
      </c>
    </row>
    <row r="24" ht="15.6" customHeight="1">
      <c r="A24" s="13" t="inlineStr">
        <is>
          <t>ISO25012</t>
        </is>
      </c>
      <c r="B24" s="13" t="inlineStr">
        <is>
          <t>ISO/IEC 25012 – data quality model</t>
        </is>
      </c>
    </row>
    <row r="25" ht="15.6" customHeight="1">
      <c r="A25" s="13" t="inlineStr">
        <is>
          <t>ISO42001</t>
        </is>
      </c>
      <c r="B25" s="13" t="inlineStr">
        <is>
          <t>ISO/IEC 42001 – AI management system</t>
        </is>
      </c>
    </row>
    <row r="26" ht="15.6" customHeight="1">
      <c r="A26" s="13" t="inlineStr">
        <is>
          <t>ISO23894</t>
        </is>
      </c>
      <c r="B26" s="13" t="inlineStr">
        <is>
          <t>ISO/IEC 23894 – AI risk management</t>
        </is>
      </c>
    </row>
    <row r="27" ht="15.6" customHeight="1">
      <c r="A27" s="13" t="inlineStr">
        <is>
          <t>NIST-AI-RMF</t>
        </is>
      </c>
      <c r="B27" s="13" t="inlineStr">
        <is>
          <t>NIST AI Risk Management Framework 1.0</t>
        </is>
      </c>
    </row>
    <row r="28" ht="15.6" customHeight="1">
      <c r="A28" s="13" t="inlineStr">
        <is>
          <t>EU-AI-ACT</t>
        </is>
      </c>
      <c r="B28" s="13" t="inlineStr">
        <is>
          <t>Reg (EU) 2024/1689 (AI Act) – used as benchmark for risk classification, human oversight and transparency; local AI regulation applies</t>
        </is>
      </c>
    </row>
    <row r="29" ht="15.6" customHeight="1">
      <c r="A29" s="13" t="inlineStr">
        <is>
          <t>DCB0129</t>
        </is>
      </c>
      <c r="B29" s="13" t="inlineStr">
        <is>
          <t>DCB0129 / DCB0160 – clinical risk management for health IT manufacture and deployment (UK standards, used as benchmark)</t>
        </is>
      </c>
    </row>
    <row r="30" ht="15.6" customHeight="1">
      <c r="A30" s="13" t="inlineStr">
        <is>
          <t>SOC2</t>
        </is>
      </c>
      <c r="B30" s="13" t="inlineStr">
        <is>
          <t>AICPA Trust Services Criteria – CC (security), A (availability), C (confidentiality), PI, P</t>
        </is>
      </c>
    </row>
    <row r="31" ht="15.6" customHeight="1">
      <c r="A31" s="13" t="inlineStr">
        <is>
          <t>SRE</t>
        </is>
      </c>
      <c r="B31" s="13" t="inlineStr">
        <is>
          <t>Site reliability engineering practice – service-level objectives, error budgets, burn-rate alerting</t>
        </is>
      </c>
    </row>
    <row r="32" ht="15.6" customHeight="1">
      <c r="A32" s="13" t="inlineStr">
        <is>
          <t>CIS-K8S</t>
        </is>
      </c>
      <c r="B32" s="13" t="inlineStr">
        <is>
          <t>CIS Kubernetes / AKS benchmarks</t>
        </is>
      </c>
    </row>
    <row r="33" ht="15.6" customHeight="1">
      <c r="A33" s="13" t="inlineStr">
        <is>
          <t>NIST-SSDF</t>
        </is>
      </c>
      <c r="B33" s="13" t="inlineStr">
        <is>
          <t>NIST SP 800-218 Secure Software Development Framework</t>
        </is>
      </c>
    </row>
    <row r="34" ht="15.6" customHeight="1">
      <c r="A34" s="13" t="inlineStr">
        <is>
          <t>SLSA</t>
        </is>
      </c>
      <c r="B34" s="13" t="inlineStr">
        <is>
          <t>Supply-chain Levels for Software Artifacts – build provenance</t>
        </is>
      </c>
    </row>
    <row r="35" ht="15.6" customHeight="1">
      <c r="A35" s="13" t="inlineStr">
        <is>
          <t>OWASP-MASVS</t>
        </is>
      </c>
      <c r="B35" s="13" t="inlineStr">
        <is>
          <t>OWASP Mobile Application Security Verification Standard v2</t>
        </is>
      </c>
    </row>
    <row r="36" ht="15.6" customHeight="1">
      <c r="A36" s="13" t="inlineStr">
        <is>
          <t>WCAG22</t>
        </is>
      </c>
      <c r="B36" s="13" t="inlineStr">
        <is>
          <t>W3C Web Content Accessibility Guidelines 2.2, level AA</t>
        </is>
      </c>
    </row>
    <row r="37" ht="15.6" customHeight="1">
      <c r="A37" s="13" t="inlineStr">
        <is>
          <t>EN301549</t>
        </is>
      </c>
      <c r="B37" s="13" t="inlineStr">
        <is>
          <t>EN 301 549 – accessibility requirements for ICT products and services</t>
        </is>
      </c>
    </row>
    <row r="38" ht="15.6" customHeight="1">
      <c r="A38" s="13" t="inlineStr">
        <is>
          <t>PDF-UA</t>
        </is>
      </c>
      <c r="B38" s="13" t="inlineStr">
        <is>
          <t>ISO 14289 – accessible PDF</t>
        </is>
      </c>
    </row>
    <row r="39" ht="15.6" customHeight="1">
      <c r="A39" s="13" t="inlineStr">
        <is>
          <t>HL7-FHIR</t>
        </is>
      </c>
      <c r="B39" s="13" t="inlineStr">
        <is>
          <t>HL7 FHIR R4 / R4B / R5 incl. subscriptions; SMART App Launch</t>
        </is>
      </c>
    </row>
    <row r="40" ht="15.6" customHeight="1">
      <c r="A40" s="13" t="inlineStr">
        <is>
          <t>HL7-ODH</t>
        </is>
      </c>
      <c r="B40" s="13" t="inlineStr">
        <is>
          <t>HL7 FHIR Occupational Data for Health (ODH) IG</t>
        </is>
      </c>
    </row>
    <row r="41" ht="15.6" customHeight="1">
      <c r="A41" s="13" t="inlineStr">
        <is>
          <t>HL7-V2</t>
        </is>
      </c>
      <c r="B41" s="13" t="inlineStr">
        <is>
          <t>HL7 version 2.5.1 messaging (ORU, ORM, ADT)</t>
        </is>
      </c>
    </row>
    <row r="42" ht="15.6" customHeight="1">
      <c r="A42" s="13" t="inlineStr">
        <is>
          <t>IHE</t>
        </is>
      </c>
      <c r="B42" s="13" t="inlineStr">
        <is>
          <t>IHE IT Infrastructure profiles – MHD, XDS.b, PIXm, PDQm, ATNA, IUA</t>
        </is>
      </c>
    </row>
    <row r="43" ht="15.6" customHeight="1">
      <c r="A43" s="13" t="inlineStr">
        <is>
          <t>SNOMED-ICD</t>
        </is>
      </c>
      <c r="B43" s="13" t="inlineStr">
        <is>
          <t>SNOMED CT / ICD-10 or ICD-11 / LOINC – clinical, diagnosis and lab coding</t>
        </is>
      </c>
    </row>
    <row r="44" ht="15.6" customHeight="1">
      <c r="A44" s="13" t="inlineStr">
        <is>
          <t>EASA-MED</t>
        </is>
      </c>
      <c r="B44" s="13" t="inlineStr">
        <is>
          <t>EASA Part-MED (Reg (EU) 1178/2011 Annex IV) – pilot medical certificates, cabin crew medical reports</t>
        </is>
      </c>
    </row>
    <row r="45" ht="15.6" customHeight="1">
      <c r="A45" s="13" t="inlineStr">
        <is>
          <t>ICAO-A1</t>
        </is>
      </c>
      <c r="B45" s="13" t="inlineStr">
        <is>
          <t>ICAO Annex 1 Ch. 6 – medical provisions for licensing</t>
        </is>
      </c>
    </row>
    <row r="46" ht="15.6" customHeight="1">
      <c r="A46" s="13" t="inlineStr">
        <is>
          <t>ICAO-A6</t>
        </is>
      </c>
      <c r="B46" s="13" t="inlineStr">
        <is>
          <t>ICAO Annex 6 – operator responsibilities incl. fatigue management (FRMS); ICAO Doc 9966 FRMS manual</t>
        </is>
      </c>
    </row>
    <row r="47" ht="15.6" customHeight="1">
      <c r="A47" s="13" t="inlineStr">
        <is>
          <t>ICAO-8984</t>
        </is>
      </c>
      <c r="B47" s="13" t="inlineStr">
        <is>
          <t>ICAO Doc 8984 – Manual of Civil Aviation Medicine</t>
        </is>
      </c>
    </row>
    <row r="48" ht="15.6" customHeight="1">
      <c r="A48" s="13" t="inlineStr">
        <is>
          <t>IOSA</t>
        </is>
      </c>
      <c r="B48" s="13" t="inlineStr">
        <is>
          <t>IATA Operational Safety Audit – crew fitness and SMS standards</t>
        </is>
      </c>
    </row>
    <row r="49" ht="15.6" customHeight="1">
      <c r="A49" s="13" t="inlineStr">
        <is>
          <t>ILO-C161</t>
        </is>
      </c>
      <c r="B49" s="13" t="inlineStr">
        <is>
          <t>ILO Convention C161 – occupational health services</t>
        </is>
      </c>
    </row>
    <row r="50" ht="15.6" customHeight="1">
      <c r="A50" s="13" t="inlineStr">
        <is>
          <t>WHO-IHR</t>
        </is>
      </c>
      <c r="B50" s="13" t="inlineStr">
        <is>
          <t>WHO International Health Regulations – preparedness and reporting</t>
        </is>
      </c>
    </row>
    <row r="51" ht="15.6" customHeight="1">
      <c r="A51" s="13" t="inlineStr">
        <is>
          <t>HIMSS</t>
        </is>
      </c>
      <c r="B51" s="13" t="inlineStr">
        <is>
          <t>HIMSS Digital Health Indicator (incl. interoperability, person-enabled health, predictive analytics)</t>
        </is>
      </c>
    </row>
    <row r="52" ht="15.6" customHeight="1">
      <c r="A52" s="13" t="inlineStr">
        <is>
          <t>LOCAL-OHS</t>
        </is>
      </c>
      <c r="B52" s="13" t="inlineStr">
        <is>
          <t>Local labour law, national OH&amp;S regulation and civil aviation authority medical requirements (e.g. UK CAA, UAE GCAA)</t>
        </is>
      </c>
    </row>
    <row r="53" ht="15.6" customHeight="1">
      <c r="A53" s="13" t="inlineStr">
        <is>
          <t>LOCAL-PDP</t>
        </is>
      </c>
      <c r="B53" s="13" t="inlineStr">
        <is>
          <t>Local personal-data-protection law + GDPR Art. 9 (special-category health data) as benchmark</t>
        </is>
      </c>
    </row>
    <row r="54" ht="15.6" customHeight="1">
      <c r="A54" s="13" t="inlineStr">
        <is>
          <t>Type: Story</t>
        </is>
      </c>
      <c r="B54" s="13" t="inlineStr">
        <is>
          <t>User-facing functionality expressed as a user story</t>
        </is>
      </c>
    </row>
    <row r="55" ht="15.6" customHeight="1">
      <c r="A55" s="13" t="inlineStr">
        <is>
          <t>Type: Enabler</t>
        </is>
      </c>
      <c r="B55" s="13" t="inlineStr">
        <is>
          <t>Architectural / technical foundation work</t>
        </is>
      </c>
    </row>
    <row r="56" ht="15.6" customHeight="1">
      <c r="A56" s="13" t="inlineStr">
        <is>
          <t>Type: Task</t>
        </is>
      </c>
      <c r="B56" s="13" t="inlineStr">
        <is>
          <t>Non-development work (content, configuration, governance, training, procurement)</t>
        </is>
      </c>
    </row>
    <row r="57" ht="15.6" customHeight="1">
      <c r="A57" s="13" t="inlineStr">
        <is>
          <t>Type: Spike</t>
        </is>
      </c>
      <c r="B57" s="13" t="inlineStr">
        <is>
          <t>Time-boxed investigation to remove uncertainty</t>
        </is>
      </c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WellnessZ Product &amp; Architecture</dc:creator>
  <dc:title xmlns:dc="http://purl.org/dc/elements/1.1/">E22 – Native Mobile, Offline &amp; Field Capability</dc:title>
  <dc:subject xmlns:dc="http://purl.org/dc/elements/1.1/">WellnessZ OHCM – strategy epic workbook</dc:subject>
  <dcterms:created xmlns:dcterms="http://purl.org/dc/terms/" xmlns:xsi="http://www.w3.org/2001/XMLSchema-instance" xsi:type="dcterms:W3CDTF">2026-10-30T13:11:13Z</dcterms:created>
  <dcterms:modified xmlns:dcterms="http://purl.org/dc/terms/" xmlns:xsi="http://www.w3.org/2001/XMLSchema-instance" xsi:type="dcterms:W3CDTF">2026-10-30T13:11:13Z</dcterms:modified>
</cp:coreProperties>
</file>